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veru-my.sharepoint.com/personal/marquis_yazzie_du_edu/Documents/Desktop/DU Research/SMRW project/Targeted analysis of SMRW and NS/CV of CCVs for pharma retry 09092025/"/>
    </mc:Choice>
  </mc:AlternateContent>
  <xr:revisionPtr revIDLastSave="0" documentId="8_{FD0E785C-FE81-4159-91D7-717DDCE63D22}" xr6:coauthVersionLast="47" xr6:coauthVersionMax="47" xr10:uidLastSave="{00000000-0000-0000-0000-000000000000}"/>
  <bookViews>
    <workbookView xWindow="-28920" yWindow="2970" windowWidth="29040" windowHeight="15720" xr2:uid="{EDAE9225-EFC9-4458-85B4-8C0DA0F9B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B28" i="1"/>
  <c r="C27" i="1"/>
  <c r="B27" i="1"/>
  <c r="C26" i="1"/>
  <c r="B26" i="1"/>
  <c r="C24" i="1"/>
  <c r="B24" i="1"/>
  <c r="C25" i="1"/>
  <c r="B25" i="1"/>
  <c r="D25" i="1" l="1"/>
  <c r="D24" i="1"/>
  <c r="D26" i="1"/>
  <c r="D27" i="1"/>
  <c r="D28" i="1"/>
</calcChain>
</file>

<file path=xl/sharedStrings.xml><?xml version="1.0" encoding="utf-8"?>
<sst xmlns="http://schemas.openxmlformats.org/spreadsheetml/2006/main" count="158" uniqueCount="43">
  <si>
    <t>Other</t>
  </si>
  <si>
    <t>50ppb_cal_pharmaceutical_mix_100ppb_IS_2</t>
  </si>
  <si>
    <t>Unknown</t>
  </si>
  <si>
    <t>Carbamazepine</t>
  </si>
  <si>
    <t>Ratio to surrogate Sulfamethizole-d4</t>
  </si>
  <si>
    <t>Ion [194.096549/194.096549] 194.0960+</t>
  </si>
  <si>
    <t>50ppb_cal_pharmaceutical_mix_100ppb_IS_3</t>
  </si>
  <si>
    <t>50ppb_cal_pharmaceutical_mix_100ppb_IS_3_20240611081856</t>
  </si>
  <si>
    <t>Sample_Name</t>
  </si>
  <si>
    <t>Replicate</t>
  </si>
  <si>
    <t>Sample Type</t>
  </si>
  <si>
    <t>Explicit Analyte Concentration</t>
  </si>
  <si>
    <t>Accuracy</t>
  </si>
  <si>
    <t>Calculated_Concentration</t>
  </si>
  <si>
    <t>Retention Time</t>
  </si>
  <si>
    <t>Molecule_Name</t>
  </si>
  <si>
    <t>Total_Area</t>
  </si>
  <si>
    <t>Standard Type</t>
  </si>
  <si>
    <t>Normalization Method</t>
  </si>
  <si>
    <t>Transition</t>
  </si>
  <si>
    <t>Total Area Normalized</t>
  </si>
  <si>
    <t>Normalized_Area</t>
  </si>
  <si>
    <t>Exclude From Calibration</t>
  </si>
  <si>
    <t>Fexofenadine</t>
  </si>
  <si>
    <t>Ion [171.117349/171.117349] 171.1168+</t>
  </si>
  <si>
    <t>Flecainide</t>
  </si>
  <si>
    <t>Ion [398.118849/398.118849] 398.1183+</t>
  </si>
  <si>
    <t>Lamotrigine</t>
  </si>
  <si>
    <t>Ion [210.983049/210.983049] 210.9825+</t>
  </si>
  <si>
    <t>Fluconazole</t>
  </si>
  <si>
    <t>Ion [220.068549/220.068549] 220.0680+</t>
  </si>
  <si>
    <t>Carbamzepine</t>
  </si>
  <si>
    <t>Mean</t>
  </si>
  <si>
    <t>St.Dev</t>
  </si>
  <si>
    <t>CV</t>
  </si>
  <si>
    <t>50ppb_calibrant</t>
  </si>
  <si>
    <t>50ppb_cal_pharmaceutical_mix_100ppb_IS</t>
  </si>
  <si>
    <t>Standard</t>
  </si>
  <si>
    <t>Three CVs only (no 50 ppb cal)</t>
  </si>
  <si>
    <t>Run after SMRw high snowmaking samples. Likely not good</t>
  </si>
  <si>
    <t>Three CCVs no (IS3)</t>
  </si>
  <si>
    <t>Two CCVs no (IS3s)</t>
  </si>
  <si>
    <t>Four CCVs (with 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</si>
</sst>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31D0-B59B-4441-A739-C51BEF211B12}">
  <dimension ref="A1:R36"/>
  <sheetViews>
    <sheetView tabSelected="1" workbookViewId="0">
      <selection activeCell="G28" sqref="G28"/>
    </sheetView>
  </sheetViews>
  <sheetFormatPr defaultRowHeight="14.25" x14ac:dyDescent="0.45"/>
  <cols>
    <col min="1" max="1" width="12.06640625" bestFit="1" customWidth="1"/>
    <col min="2" max="2" width="46" customWidth="1"/>
    <col min="3" max="3" width="10.73046875" bestFit="1" customWidth="1"/>
    <col min="9" max="9" width="15.46484375" customWidth="1"/>
    <col min="18" max="18" width="50.19921875" bestFit="1" customWidth="1"/>
  </cols>
  <sheetData>
    <row r="1" spans="1:18" x14ac:dyDescent="0.4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8" x14ac:dyDescent="0.45">
      <c r="A2" t="s">
        <v>0</v>
      </c>
      <c r="B2" t="s">
        <v>1</v>
      </c>
      <c r="C2" t="s">
        <v>2</v>
      </c>
      <c r="E2" t="e">
        <v>#N/A</v>
      </c>
      <c r="F2" s="1">
        <v>41.6</v>
      </c>
      <c r="G2">
        <v>5.5</v>
      </c>
      <c r="H2" t="s">
        <v>3</v>
      </c>
      <c r="I2" s="5">
        <v>54965048</v>
      </c>
      <c r="K2" t="s">
        <v>4</v>
      </c>
      <c r="L2" t="s">
        <v>5</v>
      </c>
      <c r="M2" s="3">
        <v>0.52600000000000002</v>
      </c>
      <c r="N2" s="1">
        <v>9.0399999999999991</v>
      </c>
      <c r="O2" t="b">
        <v>0</v>
      </c>
    </row>
    <row r="3" spans="1:18" x14ac:dyDescent="0.45">
      <c r="A3" t="s">
        <v>0</v>
      </c>
      <c r="B3" t="s">
        <v>6</v>
      </c>
      <c r="C3" t="s">
        <v>2</v>
      </c>
      <c r="E3" t="e">
        <v>#N/A</v>
      </c>
      <c r="F3" s="1">
        <v>122</v>
      </c>
      <c r="G3">
        <v>5.5</v>
      </c>
      <c r="H3" t="s">
        <v>3</v>
      </c>
      <c r="I3" s="5">
        <v>130837568</v>
      </c>
      <c r="K3" t="s">
        <v>4</v>
      </c>
      <c r="L3" t="s">
        <v>5</v>
      </c>
      <c r="M3" s="3">
        <v>0.63919999999999999</v>
      </c>
      <c r="N3" s="1">
        <v>26.5</v>
      </c>
      <c r="O3" t="b">
        <v>0</v>
      </c>
      <c r="R3" t="s">
        <v>39</v>
      </c>
    </row>
    <row r="4" spans="1:18" x14ac:dyDescent="0.45">
      <c r="A4" t="s">
        <v>0</v>
      </c>
      <c r="B4" t="s">
        <v>7</v>
      </c>
      <c r="C4" t="s">
        <v>2</v>
      </c>
      <c r="E4" t="e">
        <v>#N/A</v>
      </c>
      <c r="F4" s="1">
        <v>40.5</v>
      </c>
      <c r="G4">
        <v>5.5</v>
      </c>
      <c r="H4" t="s">
        <v>3</v>
      </c>
      <c r="I4" s="5">
        <v>43202644</v>
      </c>
      <c r="K4" t="s">
        <v>4</v>
      </c>
      <c r="L4" t="s">
        <v>5</v>
      </c>
      <c r="M4" s="3">
        <v>0.45040000000000002</v>
      </c>
      <c r="N4" s="1">
        <v>8.8000000000000007</v>
      </c>
      <c r="O4" t="b">
        <v>0</v>
      </c>
      <c r="R4" t="s">
        <v>39</v>
      </c>
    </row>
    <row r="5" spans="1:18" x14ac:dyDescent="0.45">
      <c r="A5" t="s">
        <v>35</v>
      </c>
      <c r="B5" t="s">
        <v>36</v>
      </c>
      <c r="C5" t="s">
        <v>37</v>
      </c>
      <c r="D5">
        <v>50.3</v>
      </c>
      <c r="E5" s="3">
        <v>0.88800000000000001</v>
      </c>
      <c r="F5" s="1">
        <v>44.7</v>
      </c>
      <c r="G5">
        <v>5.5</v>
      </c>
      <c r="H5" t="s">
        <v>3</v>
      </c>
      <c r="I5" s="5">
        <v>40864664</v>
      </c>
      <c r="K5" t="s">
        <v>4</v>
      </c>
      <c r="L5" t="s">
        <v>5</v>
      </c>
      <c r="M5" s="3">
        <v>0.47970000000000002</v>
      </c>
      <c r="N5" s="1">
        <v>9.7100000000000009</v>
      </c>
      <c r="O5" t="b">
        <v>0</v>
      </c>
    </row>
    <row r="6" spans="1:18" x14ac:dyDescent="0.45">
      <c r="A6" t="s">
        <v>0</v>
      </c>
      <c r="B6" t="s">
        <v>1</v>
      </c>
      <c r="C6" t="s">
        <v>2</v>
      </c>
      <c r="E6" t="e">
        <v>#N/A</v>
      </c>
      <c r="F6" s="1">
        <v>8.77</v>
      </c>
      <c r="G6">
        <v>6.36</v>
      </c>
      <c r="H6" t="s">
        <v>23</v>
      </c>
      <c r="I6" s="5">
        <v>1279011</v>
      </c>
      <c r="K6" t="s">
        <v>4</v>
      </c>
      <c r="L6" t="s">
        <v>24</v>
      </c>
      <c r="M6" s="3">
        <v>1.2200000000000001E-2</v>
      </c>
      <c r="N6" s="1">
        <v>0.21</v>
      </c>
      <c r="O6" t="b">
        <v>0</v>
      </c>
    </row>
    <row r="7" spans="1:18" x14ac:dyDescent="0.45">
      <c r="A7" t="s">
        <v>0</v>
      </c>
      <c r="B7" t="s">
        <v>6</v>
      </c>
      <c r="C7" t="s">
        <v>2</v>
      </c>
      <c r="E7" t="e">
        <v>#N/A</v>
      </c>
      <c r="F7" s="1">
        <v>60.3</v>
      </c>
      <c r="G7">
        <v>6.4</v>
      </c>
      <c r="H7" t="s">
        <v>23</v>
      </c>
      <c r="I7" s="5">
        <v>6558745</v>
      </c>
      <c r="K7" t="s">
        <v>4</v>
      </c>
      <c r="L7" t="s">
        <v>24</v>
      </c>
      <c r="M7" s="3">
        <v>3.2000000000000001E-2</v>
      </c>
      <c r="N7" s="1">
        <v>1.33</v>
      </c>
      <c r="O7" t="b">
        <v>0</v>
      </c>
    </row>
    <row r="8" spans="1:18" x14ac:dyDescent="0.45">
      <c r="A8" t="s">
        <v>0</v>
      </c>
      <c r="B8" t="s">
        <v>7</v>
      </c>
      <c r="C8" t="s">
        <v>2</v>
      </c>
      <c r="E8" t="e">
        <v>#N/A</v>
      </c>
      <c r="F8" s="1">
        <v>45</v>
      </c>
      <c r="G8">
        <v>6.4</v>
      </c>
      <c r="H8" t="s">
        <v>23</v>
      </c>
      <c r="I8" s="5">
        <v>4886590</v>
      </c>
      <c r="K8" t="s">
        <v>4</v>
      </c>
      <c r="L8" t="s">
        <v>24</v>
      </c>
      <c r="M8" s="3">
        <v>5.0900000000000001E-2</v>
      </c>
      <c r="N8" s="1">
        <v>0.996</v>
      </c>
      <c r="O8" t="b">
        <v>0</v>
      </c>
    </row>
    <row r="9" spans="1:18" x14ac:dyDescent="0.45">
      <c r="A9" t="s">
        <v>35</v>
      </c>
      <c r="B9" t="s">
        <v>36</v>
      </c>
      <c r="C9" t="s">
        <v>37</v>
      </c>
      <c r="D9">
        <v>49</v>
      </c>
      <c r="E9" s="3">
        <v>0.41599999999999998</v>
      </c>
      <c r="F9" s="1">
        <v>20.399999999999999</v>
      </c>
      <c r="G9">
        <v>6.36</v>
      </c>
      <c r="H9" t="s">
        <v>23</v>
      </c>
      <c r="I9" s="5">
        <v>1947544</v>
      </c>
      <c r="K9" t="s">
        <v>4</v>
      </c>
      <c r="L9" t="s">
        <v>24</v>
      </c>
      <c r="M9" s="3">
        <v>2.29E-2</v>
      </c>
      <c r="N9" s="1">
        <v>0.46300000000000002</v>
      </c>
      <c r="O9" t="b">
        <v>1</v>
      </c>
    </row>
    <row r="10" spans="1:18" x14ac:dyDescent="0.45">
      <c r="A10" t="s">
        <v>0</v>
      </c>
      <c r="B10" t="s">
        <v>1</v>
      </c>
      <c r="C10" t="s">
        <v>2</v>
      </c>
      <c r="E10" t="e">
        <v>#N/A</v>
      </c>
      <c r="F10" s="1">
        <v>43.8</v>
      </c>
      <c r="G10">
        <v>5.33</v>
      </c>
      <c r="H10" t="s">
        <v>25</v>
      </c>
      <c r="I10" s="5">
        <v>40494392</v>
      </c>
      <c r="K10" t="s">
        <v>4</v>
      </c>
      <c r="L10" t="s">
        <v>26</v>
      </c>
      <c r="M10" s="3">
        <v>0.3876</v>
      </c>
      <c r="N10" s="1">
        <v>6.66</v>
      </c>
      <c r="O10" t="b">
        <v>0</v>
      </c>
    </row>
    <row r="11" spans="1:18" x14ac:dyDescent="0.45">
      <c r="A11" t="s">
        <v>0</v>
      </c>
      <c r="B11" t="s">
        <v>6</v>
      </c>
      <c r="C11" t="s">
        <v>2</v>
      </c>
      <c r="E11" t="e">
        <v>#N/A</v>
      </c>
      <c r="F11" s="1">
        <v>74.900000000000006</v>
      </c>
      <c r="G11">
        <v>5.33</v>
      </c>
      <c r="H11" t="s">
        <v>25</v>
      </c>
      <c r="I11" s="5">
        <v>56238368</v>
      </c>
      <c r="K11" t="s">
        <v>4</v>
      </c>
      <c r="L11" t="s">
        <v>26</v>
      </c>
      <c r="M11" s="3">
        <v>0.27479999999999999</v>
      </c>
      <c r="N11" s="1">
        <v>11.4</v>
      </c>
      <c r="O11" t="b">
        <v>0</v>
      </c>
    </row>
    <row r="12" spans="1:18" x14ac:dyDescent="0.45">
      <c r="A12" t="s">
        <v>0</v>
      </c>
      <c r="B12" t="s">
        <v>7</v>
      </c>
      <c r="C12" t="s">
        <v>2</v>
      </c>
      <c r="E12" t="e">
        <v>#N/A</v>
      </c>
      <c r="F12" s="1">
        <v>48.4</v>
      </c>
      <c r="G12">
        <v>5.33</v>
      </c>
      <c r="H12" t="s">
        <v>25</v>
      </c>
      <c r="I12" s="5">
        <v>36109372</v>
      </c>
      <c r="K12" t="s">
        <v>4</v>
      </c>
      <c r="L12" t="s">
        <v>26</v>
      </c>
      <c r="M12" s="3">
        <v>0.3765</v>
      </c>
      <c r="N12" s="1">
        <v>7.36</v>
      </c>
      <c r="O12" t="b">
        <v>0</v>
      </c>
    </row>
    <row r="13" spans="1:18" x14ac:dyDescent="0.45">
      <c r="A13" t="s">
        <v>35</v>
      </c>
      <c r="B13" t="s">
        <v>36</v>
      </c>
      <c r="C13" t="s">
        <v>37</v>
      </c>
      <c r="D13">
        <v>48.39</v>
      </c>
      <c r="E13" s="3">
        <v>0.85799999999999998</v>
      </c>
      <c r="F13" s="1">
        <v>41.5</v>
      </c>
      <c r="G13">
        <v>5.33</v>
      </c>
      <c r="H13" t="s">
        <v>25</v>
      </c>
      <c r="I13" s="5">
        <v>26544082</v>
      </c>
      <c r="K13" t="s">
        <v>4</v>
      </c>
      <c r="L13" t="s">
        <v>26</v>
      </c>
      <c r="M13" s="3">
        <v>0.31159999999999999</v>
      </c>
      <c r="N13" s="1">
        <v>6.3</v>
      </c>
      <c r="O13" t="b">
        <v>0</v>
      </c>
    </row>
    <row r="14" spans="1:18" x14ac:dyDescent="0.45">
      <c r="A14" t="s">
        <v>0</v>
      </c>
      <c r="B14" t="s">
        <v>1</v>
      </c>
      <c r="C14" t="s">
        <v>2</v>
      </c>
      <c r="E14" t="e">
        <v>#N/A</v>
      </c>
      <c r="F14" s="1">
        <v>34.299999999999997</v>
      </c>
      <c r="G14">
        <v>3</v>
      </c>
      <c r="H14" t="s">
        <v>27</v>
      </c>
      <c r="I14" s="5">
        <v>943504</v>
      </c>
      <c r="K14" t="s">
        <v>4</v>
      </c>
      <c r="L14" t="s">
        <v>28</v>
      </c>
      <c r="M14" s="3">
        <v>8.9999999999999993E-3</v>
      </c>
      <c r="N14" s="1">
        <v>0.155</v>
      </c>
      <c r="O14" t="b">
        <v>0</v>
      </c>
    </row>
    <row r="15" spans="1:18" x14ac:dyDescent="0.45">
      <c r="A15" t="s">
        <v>0</v>
      </c>
      <c r="B15" t="s">
        <v>6</v>
      </c>
      <c r="C15" t="s">
        <v>2</v>
      </c>
      <c r="E15" t="e">
        <v>#N/A</v>
      </c>
      <c r="F15" s="1">
        <v>29.1</v>
      </c>
      <c r="G15">
        <v>3</v>
      </c>
      <c r="H15" t="s">
        <v>27</v>
      </c>
      <c r="I15" s="5">
        <v>649774</v>
      </c>
      <c r="K15" t="s">
        <v>4</v>
      </c>
      <c r="L15" t="s">
        <v>28</v>
      </c>
      <c r="M15" s="3">
        <v>3.2000000000000002E-3</v>
      </c>
      <c r="N15" s="1">
        <v>0.13100000000000001</v>
      </c>
      <c r="O15" t="b">
        <v>0</v>
      </c>
    </row>
    <row r="16" spans="1:18" x14ac:dyDescent="0.45">
      <c r="A16" t="s">
        <v>0</v>
      </c>
      <c r="B16" t="s">
        <v>7</v>
      </c>
      <c r="C16" t="s">
        <v>2</v>
      </c>
      <c r="E16" t="e">
        <v>#N/A</v>
      </c>
      <c r="F16" s="1">
        <v>30.1</v>
      </c>
      <c r="G16">
        <v>3</v>
      </c>
      <c r="H16" t="s">
        <v>27</v>
      </c>
      <c r="I16" s="5">
        <v>667169</v>
      </c>
      <c r="K16" t="s">
        <v>4</v>
      </c>
      <c r="L16" t="s">
        <v>28</v>
      </c>
      <c r="M16" s="3">
        <v>7.0000000000000001E-3</v>
      </c>
      <c r="N16" s="1">
        <v>0.13600000000000001</v>
      </c>
      <c r="O16" t="b">
        <v>0</v>
      </c>
    </row>
    <row r="17" spans="1:15" x14ac:dyDescent="0.45">
      <c r="A17" t="s">
        <v>35</v>
      </c>
      <c r="B17" t="s">
        <v>36</v>
      </c>
      <c r="C17" t="s">
        <v>37</v>
      </c>
      <c r="D17">
        <v>49.43</v>
      </c>
      <c r="E17" s="4">
        <v>0.8</v>
      </c>
      <c r="F17" s="1">
        <v>39.6</v>
      </c>
      <c r="G17">
        <v>2.96</v>
      </c>
      <c r="H17" t="s">
        <v>27</v>
      </c>
      <c r="I17" s="5">
        <v>754438</v>
      </c>
      <c r="K17" t="s">
        <v>4</v>
      </c>
      <c r="L17" t="s">
        <v>28</v>
      </c>
      <c r="M17" s="3">
        <v>8.8999999999999999E-3</v>
      </c>
      <c r="N17" s="1">
        <v>0.17899999999999999</v>
      </c>
      <c r="O17" t="b">
        <v>1</v>
      </c>
    </row>
    <row r="18" spans="1:15" x14ac:dyDescent="0.45">
      <c r="A18" t="s">
        <v>0</v>
      </c>
      <c r="B18" t="s">
        <v>1</v>
      </c>
      <c r="C18" t="s">
        <v>2</v>
      </c>
      <c r="E18" t="e">
        <v>#N/A</v>
      </c>
      <c r="F18" s="1">
        <v>5.09</v>
      </c>
      <c r="G18">
        <v>3.25</v>
      </c>
      <c r="H18" t="s">
        <v>29</v>
      </c>
      <c r="I18" s="5">
        <v>726205</v>
      </c>
      <c r="K18" t="s">
        <v>4</v>
      </c>
      <c r="L18" t="s">
        <v>30</v>
      </c>
      <c r="M18" s="3">
        <v>7.0000000000000001E-3</v>
      </c>
      <c r="N18" s="1">
        <v>0.11899999999999999</v>
      </c>
      <c r="O18" t="b">
        <v>0</v>
      </c>
    </row>
    <row r="19" spans="1:15" x14ac:dyDescent="0.45">
      <c r="A19" t="s">
        <v>0</v>
      </c>
      <c r="B19" t="s">
        <v>6</v>
      </c>
      <c r="C19" t="s">
        <v>2</v>
      </c>
      <c r="E19" t="e">
        <v>#N/A</v>
      </c>
      <c r="F19" s="1">
        <v>25.7</v>
      </c>
      <c r="G19">
        <v>3.21</v>
      </c>
      <c r="H19" t="s">
        <v>29</v>
      </c>
      <c r="I19" s="5">
        <v>5450220</v>
      </c>
      <c r="K19" t="s">
        <v>4</v>
      </c>
      <c r="L19" t="s">
        <v>30</v>
      </c>
      <c r="M19" s="3">
        <v>2.6599999999999999E-2</v>
      </c>
      <c r="N19" s="1">
        <v>1.1000000000000001</v>
      </c>
      <c r="O19" t="b">
        <v>0</v>
      </c>
    </row>
    <row r="20" spans="1:15" x14ac:dyDescent="0.45">
      <c r="A20" t="s">
        <v>0</v>
      </c>
      <c r="B20" t="s">
        <v>7</v>
      </c>
      <c r="C20" t="s">
        <v>2</v>
      </c>
      <c r="E20" t="e">
        <v>#N/A</v>
      </c>
      <c r="F20" s="1">
        <v>28.8</v>
      </c>
      <c r="G20">
        <v>3.21</v>
      </c>
      <c r="H20" t="s">
        <v>29</v>
      </c>
      <c r="I20" s="5">
        <v>6144028</v>
      </c>
      <c r="K20" t="s">
        <v>4</v>
      </c>
      <c r="L20" t="s">
        <v>30</v>
      </c>
      <c r="M20" s="3">
        <v>6.4100000000000004E-2</v>
      </c>
      <c r="N20" s="1">
        <v>1.25</v>
      </c>
      <c r="O20" t="b">
        <v>0</v>
      </c>
    </row>
    <row r="21" spans="1:15" x14ac:dyDescent="0.45">
      <c r="A21" t="s">
        <v>35</v>
      </c>
      <c r="B21" t="s">
        <v>36</v>
      </c>
      <c r="C21" t="s">
        <v>37</v>
      </c>
      <c r="D21">
        <v>51.13</v>
      </c>
      <c r="E21" s="3">
        <v>1.1080000000000001</v>
      </c>
      <c r="F21" s="1">
        <v>56.6</v>
      </c>
      <c r="G21">
        <v>3.17</v>
      </c>
      <c r="H21" t="s">
        <v>29</v>
      </c>
      <c r="I21" s="5">
        <v>10872577</v>
      </c>
      <c r="K21" t="s">
        <v>4</v>
      </c>
      <c r="L21" t="s">
        <v>30</v>
      </c>
      <c r="M21" s="3">
        <v>0.12759999999999999</v>
      </c>
      <c r="N21" s="1">
        <v>2.58</v>
      </c>
      <c r="O21" t="b">
        <v>0</v>
      </c>
    </row>
    <row r="23" spans="1:15" x14ac:dyDescent="0.45">
      <c r="B23" t="s">
        <v>32</v>
      </c>
      <c r="C23" t="s">
        <v>33</v>
      </c>
      <c r="D23" t="s">
        <v>34</v>
      </c>
    </row>
    <row r="24" spans="1:15" x14ac:dyDescent="0.45">
      <c r="A24" t="s">
        <v>31</v>
      </c>
      <c r="B24" s="2">
        <f>AVERAGE(I2,I5)</f>
        <v>47914856</v>
      </c>
      <c r="C24">
        <f>_xlfn.STDEV.S(I2,I5)</f>
        <v>9970477.1437342949</v>
      </c>
      <c r="D24">
        <f>C24/B24*100</f>
        <v>20.808738616963172</v>
      </c>
    </row>
    <row r="25" spans="1:15" x14ac:dyDescent="0.45">
      <c r="A25" t="s">
        <v>23</v>
      </c>
      <c r="B25">
        <f>AVERAGE(I6,I9)</f>
        <v>1613277.5</v>
      </c>
      <c r="C25">
        <f>_xlfn.STDEV.S(I6,I9)</f>
        <v>472724.21774698619</v>
      </c>
      <c r="D25">
        <f>C25/B25*100</f>
        <v>29.302101947556213</v>
      </c>
    </row>
    <row r="26" spans="1:15" x14ac:dyDescent="0.45">
      <c r="A26" t="s">
        <v>25</v>
      </c>
      <c r="B26">
        <f>AVERAGE(I10,I13)</f>
        <v>33519237</v>
      </c>
      <c r="C26">
        <f>_xlfn.STDEV.S(I10,I13)</f>
        <v>9864358.8006545063</v>
      </c>
      <c r="D26">
        <f>C26/B26*100</f>
        <v>29.428947922217041</v>
      </c>
    </row>
    <row r="27" spans="1:15" x14ac:dyDescent="0.45">
      <c r="A27" t="s">
        <v>27</v>
      </c>
      <c r="B27">
        <f>AVERAGE(I14,I17)</f>
        <v>848971</v>
      </c>
      <c r="C27">
        <f>_xlfn.STDEV.S(I14,I17)</f>
        <v>133689.85069181578</v>
      </c>
      <c r="D27">
        <f>C27/B27*100</f>
        <v>15.747281201809693</v>
      </c>
    </row>
    <row r="28" spans="1:15" x14ac:dyDescent="0.45">
      <c r="A28" t="s">
        <v>29</v>
      </c>
      <c r="B28">
        <f>AVERAGE(I18,I21)</f>
        <v>5799391</v>
      </c>
      <c r="C28">
        <f>_xlfn.STDEV.S(I18,I21)</f>
        <v>7174568.4456413127</v>
      </c>
      <c r="D28">
        <f>C28/B28*100</f>
        <v>123.71244576613843</v>
      </c>
    </row>
    <row r="30" spans="1:15" x14ac:dyDescent="0.45">
      <c r="B30" t="s">
        <v>38</v>
      </c>
      <c r="D30" t="s">
        <v>42</v>
      </c>
      <c r="F30" t="s">
        <v>40</v>
      </c>
      <c r="H30" t="s">
        <v>41</v>
      </c>
    </row>
    <row r="31" spans="1:15" x14ac:dyDescent="0.45">
      <c r="B31" t="s">
        <v>34</v>
      </c>
      <c r="D31" t="s">
        <v>34</v>
      </c>
      <c r="F31" t="s">
        <v>34</v>
      </c>
      <c r="H31" t="s">
        <v>34</v>
      </c>
    </row>
    <row r="32" spans="1:15" x14ac:dyDescent="0.45">
      <c r="A32" t="s">
        <v>31</v>
      </c>
      <c r="B32" s="2">
        <v>62.311479760308394</v>
      </c>
      <c r="D32">
        <v>63.282234034812504</v>
      </c>
      <c r="F32">
        <v>16.306077134634418</v>
      </c>
      <c r="H32">
        <v>20.808738616963172</v>
      </c>
    </row>
    <row r="33" spans="1:8" x14ac:dyDescent="0.45">
      <c r="A33" t="s">
        <v>23</v>
      </c>
      <c r="B33" s="2">
        <v>63.6184215326711</v>
      </c>
      <c r="D33">
        <v>67.717380719435667</v>
      </c>
      <c r="F33">
        <v>70.965643671632861</v>
      </c>
      <c r="H33">
        <v>29.302101947556213</v>
      </c>
    </row>
    <row r="34" spans="1:8" x14ac:dyDescent="0.45">
      <c r="A34" t="s">
        <v>25</v>
      </c>
      <c r="B34" s="2">
        <v>23.904745952041441</v>
      </c>
      <c r="D34">
        <v>31.077305892952765</v>
      </c>
      <c r="F34">
        <v>20.747858580447616</v>
      </c>
      <c r="H34">
        <v>29.428947922217041</v>
      </c>
    </row>
    <row r="35" spans="1:8" x14ac:dyDescent="0.45">
      <c r="A35" t="s">
        <v>27</v>
      </c>
      <c r="B35" s="2">
        <v>21.870887049840896</v>
      </c>
      <c r="D35">
        <v>17.851956544917076</v>
      </c>
      <c r="F35">
        <v>17.91771598843831</v>
      </c>
      <c r="H35">
        <v>15.747281201809693</v>
      </c>
    </row>
    <row r="36" spans="1:8" x14ac:dyDescent="0.45">
      <c r="A36" t="s">
        <v>29</v>
      </c>
      <c r="B36" s="2">
        <v>71.787389983206936</v>
      </c>
      <c r="D36">
        <v>71.606204127808667</v>
      </c>
      <c r="F36">
        <v>85.844686511978608</v>
      </c>
      <c r="H36">
        <v>123.71244576613843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Denver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Marquis Yazzie</dc:creator>
  <cp:lastModifiedBy>Marquis Yazzie</cp:lastModifiedBy>
  <dcterms:created xsi:type="dcterms:W3CDTF">2025-09-09T18:29:42Z</dcterms:created>
  <dcterms:modified xsi:type="dcterms:W3CDTF">2025-09-09T19:00:58Z</dcterms:modified>
</cp:coreProperties>
</file>