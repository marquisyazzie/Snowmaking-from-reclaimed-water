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nveru-my.sharepoint.com/personal/marquis_yazzie_du_edu/Documents/Desktop/DU Research/SMRW project/Targeted analysis of SMRW and NS/SMRW_PRM_Pharma_retry_06102024/edited quant workbook 09092025/"/>
    </mc:Choice>
  </mc:AlternateContent>
  <xr:revisionPtr revIDLastSave="322" documentId="8_{2C8325B3-44CF-4EEC-85A9-1A81547B9400}" xr6:coauthVersionLast="47" xr6:coauthVersionMax="47" xr10:uidLastSave="{7AFF5EF0-300A-4784-A216-79346AECA3ED}"/>
  <bookViews>
    <workbookView xWindow="-28920" yWindow="2970" windowWidth="29040" windowHeight="15720" xr2:uid="{E1B86A3B-62D1-4419-9307-C54F2475B786}"/>
  </bookViews>
  <sheets>
    <sheet name="SMRW_PRM_06112024_transitions_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2" i="1" l="1"/>
  <c r="U14" i="1"/>
  <c r="AA24" i="1"/>
  <c r="U85" i="1"/>
  <c r="U149" i="1"/>
  <c r="V149" i="1" s="1"/>
  <c r="U104" i="1"/>
  <c r="V104" i="1"/>
  <c r="U61" i="1"/>
  <c r="V61" i="1" s="1"/>
  <c r="V14" i="1"/>
  <c r="U174" i="1"/>
  <c r="V174" i="1"/>
  <c r="V172" i="1"/>
  <c r="U172" i="1"/>
  <c r="U170" i="1"/>
  <c r="U169" i="1"/>
  <c r="V170" i="1"/>
  <c r="U171" i="1"/>
  <c r="T171" i="1"/>
  <c r="U17" i="1"/>
  <c r="U16" i="1"/>
  <c r="U37" i="1"/>
  <c r="U227" i="1"/>
  <c r="U18" i="1"/>
  <c r="U229" i="1"/>
  <c r="T27" i="1"/>
  <c r="U27" i="1"/>
  <c r="T31" i="1"/>
  <c r="U31" i="1" s="1"/>
  <c r="T29" i="1"/>
  <c r="U29" i="1" s="1"/>
  <c r="U223" i="1"/>
  <c r="U175" i="1"/>
  <c r="V175" i="1" s="1"/>
  <c r="T219" i="1"/>
  <c r="U219" i="1" s="1"/>
  <c r="V219" i="1" s="1"/>
  <c r="U208" i="1"/>
  <c r="V208" i="1" s="1"/>
  <c r="U180" i="1"/>
  <c r="V180" i="1" s="1"/>
  <c r="U178" i="1"/>
  <c r="V178" i="1" s="1"/>
  <c r="V171" i="1"/>
  <c r="U161" i="1"/>
  <c r="U160" i="1"/>
  <c r="U128" i="1"/>
  <c r="V128" i="1" s="1"/>
  <c r="U118" i="1"/>
  <c r="U112" i="1"/>
  <c r="V112" i="1" s="1"/>
  <c r="U82" i="1"/>
  <c r="V82" i="1" s="1"/>
  <c r="T75" i="1"/>
  <c r="U75" i="1" s="1"/>
  <c r="V75" i="1" s="1"/>
  <c r="U64" i="1"/>
  <c r="V64" i="1" s="1"/>
  <c r="V229" i="1"/>
  <c r="U228" i="1"/>
  <c r="V228" i="1" s="1"/>
  <c r="V227" i="1"/>
  <c r="U226" i="1"/>
  <c r="V226" i="1" s="1"/>
  <c r="U225" i="1"/>
  <c r="V225" i="1" s="1"/>
  <c r="U224" i="1"/>
  <c r="V224" i="1" s="1"/>
  <c r="T223" i="1"/>
  <c r="T221" i="1"/>
  <c r="U221" i="1" s="1"/>
  <c r="V221" i="1" s="1"/>
  <c r="U217" i="1"/>
  <c r="V217" i="1" s="1"/>
  <c r="U216" i="1"/>
  <c r="V216" i="1" s="1"/>
  <c r="U215" i="1"/>
  <c r="V215" i="1" s="1"/>
  <c r="U214" i="1"/>
  <c r="V214" i="1" s="1"/>
  <c r="U213" i="1"/>
  <c r="V213" i="1" s="1"/>
  <c r="U212" i="1"/>
  <c r="V212" i="1" s="1"/>
  <c r="U211" i="1"/>
  <c r="V211" i="1" s="1"/>
  <c r="U210" i="1"/>
  <c r="V210" i="1" s="1"/>
  <c r="U209" i="1"/>
  <c r="V209" i="1" s="1"/>
  <c r="U181" i="1"/>
  <c r="V181" i="1" s="1"/>
  <c r="U179" i="1"/>
  <c r="V179" i="1" s="1"/>
  <c r="U177" i="1"/>
  <c r="V177" i="1" s="1"/>
  <c r="U176" i="1"/>
  <c r="V176" i="1" s="1"/>
  <c r="T175" i="1"/>
  <c r="T173" i="1"/>
  <c r="U173" i="1" s="1"/>
  <c r="V173" i="1" s="1"/>
  <c r="V169" i="1"/>
  <c r="U168" i="1"/>
  <c r="V168" i="1" s="1"/>
  <c r="U167" i="1"/>
  <c r="V167" i="1" s="1"/>
  <c r="U166" i="1"/>
  <c r="V166" i="1" s="1"/>
  <c r="U165" i="1"/>
  <c r="V165" i="1" s="1"/>
  <c r="U164" i="1"/>
  <c r="V164" i="1" s="1"/>
  <c r="U163" i="1"/>
  <c r="V163" i="1" s="1"/>
  <c r="U162" i="1"/>
  <c r="V162" i="1" s="1"/>
  <c r="V161" i="1"/>
  <c r="V160" i="1"/>
  <c r="U133" i="1"/>
  <c r="V133" i="1" s="1"/>
  <c r="U132" i="1"/>
  <c r="V132" i="1" s="1"/>
  <c r="U131" i="1"/>
  <c r="V131" i="1" s="1"/>
  <c r="U130" i="1"/>
  <c r="V130" i="1" s="1"/>
  <c r="U129" i="1"/>
  <c r="V129" i="1" s="1"/>
  <c r="T127" i="1"/>
  <c r="U127" i="1" s="1"/>
  <c r="V127" i="1" s="1"/>
  <c r="T125" i="1"/>
  <c r="U125" i="1" s="1"/>
  <c r="V125" i="1" s="1"/>
  <c r="T123" i="1"/>
  <c r="U121" i="1"/>
  <c r="V121" i="1" s="1"/>
  <c r="U120" i="1"/>
  <c r="V120" i="1" s="1"/>
  <c r="U119" i="1"/>
  <c r="V119" i="1" s="1"/>
  <c r="V118" i="1"/>
  <c r="U117" i="1"/>
  <c r="V117" i="1" s="1"/>
  <c r="U116" i="1"/>
  <c r="V116" i="1" s="1"/>
  <c r="U115" i="1"/>
  <c r="V115" i="1" s="1"/>
  <c r="U114" i="1"/>
  <c r="V114" i="1" s="1"/>
  <c r="U113" i="1"/>
  <c r="V113" i="1" s="1"/>
  <c r="V85" i="1"/>
  <c r="U84" i="1"/>
  <c r="V84" i="1" s="1"/>
  <c r="U83" i="1"/>
  <c r="V83" i="1" s="1"/>
  <c r="U81" i="1"/>
  <c r="V81" i="1" s="1"/>
  <c r="U80" i="1"/>
  <c r="V80" i="1" s="1"/>
  <c r="T79" i="1"/>
  <c r="U79" i="1" s="1"/>
  <c r="T77" i="1"/>
  <c r="U77" i="1" s="1"/>
  <c r="V77" i="1" s="1"/>
  <c r="U73" i="1"/>
  <c r="V73" i="1" s="1"/>
  <c r="U72" i="1"/>
  <c r="V72" i="1" s="1"/>
  <c r="U71" i="1"/>
  <c r="V71" i="1" s="1"/>
  <c r="U70" i="1"/>
  <c r="V70" i="1" s="1"/>
  <c r="U69" i="1"/>
  <c r="V69" i="1" s="1"/>
  <c r="U68" i="1"/>
  <c r="V68" i="1" s="1"/>
  <c r="U67" i="1"/>
  <c r="V67" i="1" s="1"/>
  <c r="U66" i="1"/>
  <c r="V66" i="1" s="1"/>
  <c r="U65" i="1"/>
  <c r="V65" i="1" s="1"/>
  <c r="U36" i="1"/>
  <c r="U35" i="1"/>
  <c r="U34" i="1"/>
  <c r="U33" i="1"/>
  <c r="U32" i="1"/>
  <c r="U25" i="1"/>
  <c r="U24" i="1"/>
  <c r="U23" i="1"/>
  <c r="U21" i="1"/>
  <c r="U20" i="1"/>
  <c r="U19" i="1"/>
  <c r="U123" i="1" l="1"/>
  <c r="V123" i="1" s="1"/>
  <c r="V223" i="1"/>
  <c r="V79" i="1"/>
  <c r="V18" i="1"/>
  <c r="V17" i="1"/>
  <c r="V16" i="1"/>
  <c r="V31" i="1"/>
  <c r="V29" i="1"/>
  <c r="V27" i="1"/>
  <c r="V37" i="1"/>
  <c r="V36" i="1"/>
  <c r="V35" i="1"/>
  <c r="V34" i="1"/>
  <c r="V33" i="1"/>
  <c r="V32" i="1"/>
  <c r="V25" i="1"/>
  <c r="V24" i="1"/>
  <c r="V23" i="1"/>
  <c r="V22" i="1"/>
  <c r="V21" i="1"/>
  <c r="V20" i="1"/>
  <c r="V19" i="1"/>
</calcChain>
</file>

<file path=xl/sharedStrings.xml><?xml version="1.0" encoding="utf-8"?>
<sst xmlns="http://schemas.openxmlformats.org/spreadsheetml/2006/main" count="1928" uniqueCount="144">
  <si>
    <t>Sample_Name</t>
  </si>
  <si>
    <t>Replicate</t>
  </si>
  <si>
    <t>Sample Type</t>
  </si>
  <si>
    <t>Explicit Analyte Concentration</t>
  </si>
  <si>
    <t>Accuracy</t>
  </si>
  <si>
    <t>Calculated_Concentration</t>
  </si>
  <si>
    <t>Retention Time</t>
  </si>
  <si>
    <t>Molecule_Name</t>
  </si>
  <si>
    <t>Total_Area</t>
  </si>
  <si>
    <t>Standard Type</t>
  </si>
  <si>
    <t>Normalization Method</t>
  </si>
  <si>
    <t>Transition</t>
  </si>
  <si>
    <t>Total Area Normalized</t>
  </si>
  <si>
    <t>Normalized_Area</t>
  </si>
  <si>
    <t>Exclude From Calibration</t>
  </si>
  <si>
    <t>0.1_ppb_calibrant</t>
  </si>
  <si>
    <t>0_point_1ppb_cal_pharmaceutical_mix_100ppb_IS</t>
  </si>
  <si>
    <t>Standard</t>
  </si>
  <si>
    <t>Carbamazepine</t>
  </si>
  <si>
    <t>Ratio to surrogate Sulfamethizole-d4</t>
  </si>
  <si>
    <t>Ion [194.096549/194.096549] 194.0960+</t>
  </si>
  <si>
    <t>0.5_ppb_calibrant</t>
  </si>
  <si>
    <t>0_point_5ppb_cal_pharmaceutical_mix_100ppb_IS</t>
  </si>
  <si>
    <t>1ppb_calibrant</t>
  </si>
  <si>
    <t>1ppb_cal_pharmaceutical_mix_100ppb_IS</t>
  </si>
  <si>
    <t>2.5ppb_calibrant</t>
  </si>
  <si>
    <t>2_point_5ppb_cal_pharmaceutical_mix_100ppb_IS</t>
  </si>
  <si>
    <t>5ppb_calibrant</t>
  </si>
  <si>
    <t>5ppb_cal_pharmaceutical_mix_100ppb_IS</t>
  </si>
  <si>
    <t>10ppb_calibrant</t>
  </si>
  <si>
    <t>10ppb_cal_pharmaceutical_mix_100ppb_IS</t>
  </si>
  <si>
    <t>25ppb_calibrant</t>
  </si>
  <si>
    <t>25ppb_cal_pharmaceutical_mix_100ppb_IS</t>
  </si>
  <si>
    <t>50ppb_calibrant</t>
  </si>
  <si>
    <t>50ppb_cal_pharmaceutical_mix_100ppb_IS</t>
  </si>
  <si>
    <t>100ppb_calibrant</t>
  </si>
  <si>
    <t>100ppb_cal_pharmaceutical_mix_100ppb_IS</t>
  </si>
  <si>
    <t>Other</t>
  </si>
  <si>
    <t>250ppb_cal_pharmaceutical_mix_100ppb_IS</t>
  </si>
  <si>
    <t>500ppbcalppb_cal_pharmaceutical_mix_100ppb_IS</t>
  </si>
  <si>
    <t>Calibration_Blank</t>
  </si>
  <si>
    <t>cal_blank_1</t>
  </si>
  <si>
    <t>Blank</t>
  </si>
  <si>
    <t>calblank_2_1</t>
  </si>
  <si>
    <t>calblank_2_2</t>
  </si>
  <si>
    <t>Extraction_Blank</t>
  </si>
  <si>
    <t>Ext_Blank_1_100ppb_IS</t>
  </si>
  <si>
    <t>Unknown</t>
  </si>
  <si>
    <t>Ext_Blank_2_100ppb_IS</t>
  </si>
  <si>
    <t>Ext_Blank_3_100ppb_IS</t>
  </si>
  <si>
    <t>Natural_Snowfall</t>
  </si>
  <si>
    <t>NS1_1_100ppb_IS</t>
  </si>
  <si>
    <t>NS1_2_100ppb_IS</t>
  </si>
  <si>
    <t>NS1_3_100ppb_IS</t>
  </si>
  <si>
    <t>NS3_1_100ppb_IS</t>
  </si>
  <si>
    <t>NS3_2_100ppb_IS</t>
  </si>
  <si>
    <t>NS3_3_100ppb_IS</t>
  </si>
  <si>
    <t>QC_Pooled</t>
  </si>
  <si>
    <t>QC_Pool_100ppb_IS</t>
  </si>
  <si>
    <t>High_Snowmaking_Dec_2022</t>
  </si>
  <si>
    <t>SMRW_2_1_100ppb_IS</t>
  </si>
  <si>
    <t>High_Snowmaking_Dil_Dec_2022</t>
  </si>
  <si>
    <t>SMRW_2_1_dil_100ppb_IS</t>
  </si>
  <si>
    <t>SMRW_2_2_100ppb_IS</t>
  </si>
  <si>
    <t>SMRW_2_2_dil_100ppb_IS</t>
  </si>
  <si>
    <t>SMRW_2_2_star_100ppb_IS_</t>
  </si>
  <si>
    <t>SMRW_2_2_star_dil_100ppb_IS</t>
  </si>
  <si>
    <t>Low_Snowmaking</t>
  </si>
  <si>
    <t>SMRW_3_1_100ppb_IS</t>
  </si>
  <si>
    <t>SMRW_3_2_100ppb_IS</t>
  </si>
  <si>
    <t>SMRW_3_3_100ppb_IS</t>
  </si>
  <si>
    <t>High_Snowmaking_Mar_2022</t>
  </si>
  <si>
    <t>SMRW1_1_100ppb</t>
  </si>
  <si>
    <t>SMRW1_2_100ppb</t>
  </si>
  <si>
    <t>SMRW1_3_100ppb</t>
  </si>
  <si>
    <t>50ppb_cal_pharmaceutical_mix_100ppb_IS_2</t>
  </si>
  <si>
    <t>50ppb_cal_pharmaceutical_mix_100ppb_IS_3</t>
  </si>
  <si>
    <t>50ppb_cal_pharmaceutical_mix_100ppb_IS_3_20240611081856</t>
  </si>
  <si>
    <t>cal_blank_1_4</t>
  </si>
  <si>
    <t>cal_blank_1_5</t>
  </si>
  <si>
    <t>cal_blank_2_3</t>
  </si>
  <si>
    <t>cal_blank_2_4</t>
  </si>
  <si>
    <t>cal_blank_100_1_3</t>
  </si>
  <si>
    <t>cal_blank1_2</t>
  </si>
  <si>
    <t>instrument_blank_1</t>
  </si>
  <si>
    <t>âˆž</t>
  </si>
  <si>
    <t>instrument_blank_2</t>
  </si>
  <si>
    <t>instrument_blank_3</t>
  </si>
  <si>
    <t>Fexofenadine</t>
  </si>
  <si>
    <t>Ion [171.117349/171.117349] 171.1168+</t>
  </si>
  <si>
    <t>NaN</t>
  </si>
  <si>
    <t>Flecainide</t>
  </si>
  <si>
    <t>Ion [398.118849/398.118849] 398.1183+</t>
  </si>
  <si>
    <t>Lamotrigine</t>
  </si>
  <si>
    <t>Ion [210.983049/210.983049] 210.9825+</t>
  </si>
  <si>
    <t>Fluconazole</t>
  </si>
  <si>
    <t>Ion [220.068549/220.068549] 220.0680+</t>
  </si>
  <si>
    <t>Sulfamethizole-d4</t>
  </si>
  <si>
    <t>Surrogate Standard</t>
  </si>
  <si>
    <t>Ion [160.037249/160.037249] 160.0367+</t>
  </si>
  <si>
    <t>Below Detection</t>
  </si>
  <si>
    <t>NOTES_1</t>
  </si>
  <si>
    <t>NOTES_2</t>
  </si>
  <si>
    <t>weight of 80% MeOH with IS added to sample (g)</t>
  </si>
  <si>
    <t>SM 1-1</t>
  </si>
  <si>
    <t>SM 1-2</t>
  </si>
  <si>
    <t>SM 1-3</t>
  </si>
  <si>
    <t>S 2_1</t>
  </si>
  <si>
    <t>S 2_2</t>
  </si>
  <si>
    <t>SMRW2_2*</t>
  </si>
  <si>
    <t>S 3_1</t>
  </si>
  <si>
    <t>S 3-2</t>
  </si>
  <si>
    <t>3_3</t>
  </si>
  <si>
    <t>NS1-1</t>
  </si>
  <si>
    <t>NS 1-2</t>
  </si>
  <si>
    <t>NS 1-3</t>
  </si>
  <si>
    <t>N 3-1</t>
  </si>
  <si>
    <t>N 3-2</t>
  </si>
  <si>
    <t>N 3-3</t>
  </si>
  <si>
    <t>E 1-1</t>
  </si>
  <si>
    <t>E 1-2</t>
  </si>
  <si>
    <t>E 1-3</t>
  </si>
  <si>
    <t>QC</t>
  </si>
  <si>
    <t>Concentration_real_sample_ppb</t>
  </si>
  <si>
    <t>Dilution1_10_SMRW</t>
  </si>
  <si>
    <t>weight of sample (g)</t>
  </si>
  <si>
    <t>weight of 80% MeOH with IS (g)</t>
  </si>
  <si>
    <t>SMRW 2_1 dilution</t>
  </si>
  <si>
    <t>SMRW 2_2 dilution</t>
  </si>
  <si>
    <t>SMRW 2_2 star dilution</t>
  </si>
  <si>
    <t>vol of sample (mL)</t>
  </si>
  <si>
    <t>density 80% MeOH</t>
  </si>
  <si>
    <t xml:space="preserve">sum volume </t>
  </si>
  <si>
    <t>Concentration real sample (ppt)</t>
  </si>
  <si>
    <t>vol of 80% MeOH with IS added</t>
  </si>
  <si>
    <t>Concentration</t>
  </si>
  <si>
    <t>Below detection</t>
  </si>
  <si>
    <t>BQ</t>
  </si>
  <si>
    <t>BD</t>
  </si>
  <si>
    <t>Bd</t>
  </si>
  <si>
    <t>AQ</t>
  </si>
  <si>
    <t>BQ value</t>
  </si>
  <si>
    <t>BQ example</t>
  </si>
  <si>
    <t>BEFORE USED TO BE 0.180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</si>
</sst>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0" fontId="0" fillId="0" borderId="0" xfId="0" applyNumberFormat="1"/>
    <xf numFmtId="11" fontId="0" fillId="0" borderId="0" xfId="0" applyNumberFormat="1"/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33" borderId="0" xfId="0" applyFill="1"/>
    <xf numFmtId="11" fontId="0" fillId="33" borderId="0" xfId="0" applyNumberFormat="1" applyFill="1"/>
    <xf numFmtId="11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D2DB-E280-4ABB-9753-0ABD64904C5A}">
  <dimension ref="A1:AJ289"/>
  <sheetViews>
    <sheetView tabSelected="1" topLeftCell="C10" workbookViewId="0">
      <selection activeCell="U159" sqref="U159"/>
    </sheetView>
  </sheetViews>
  <sheetFormatPr defaultRowHeight="14.25" x14ac:dyDescent="0.45"/>
  <cols>
    <col min="1" max="1" width="39.73046875" customWidth="1"/>
    <col min="2" max="2" width="20.6640625" customWidth="1"/>
    <col min="6" max="6" width="21.46484375" bestFit="1" customWidth="1"/>
    <col min="9" max="9" width="12.53125" bestFit="1" customWidth="1"/>
    <col min="14" max="14" width="15.1328125" bestFit="1" customWidth="1"/>
    <col min="16" max="16" width="11.46484375" customWidth="1"/>
    <col min="17" max="17" width="5.19921875" customWidth="1"/>
    <col min="18" max="18" width="4.796875" customWidth="1"/>
    <col min="19" max="19" width="7.86328125" customWidth="1"/>
    <col min="20" max="20" width="17.86328125" bestFit="1" customWidth="1"/>
    <col min="21" max="21" width="16.73046875" customWidth="1"/>
    <col min="22" max="22" width="14.86328125" customWidth="1"/>
    <col min="23" max="23" width="10" bestFit="1" customWidth="1"/>
    <col min="24" max="24" width="39.46484375" bestFit="1" customWidth="1"/>
    <col min="26" max="26" width="23.73046875" customWidth="1"/>
    <col min="27" max="27" width="27.19921875" customWidth="1"/>
    <col min="29" max="29" width="11.1328125" customWidth="1"/>
  </cols>
  <sheetData>
    <row r="1" spans="1:3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135</v>
      </c>
      <c r="Q1" t="s">
        <v>101</v>
      </c>
      <c r="R1" t="s">
        <v>102</v>
      </c>
      <c r="S1" t="s">
        <v>135</v>
      </c>
      <c r="T1" t="s">
        <v>124</v>
      </c>
      <c r="U1" t="s">
        <v>123</v>
      </c>
      <c r="V1" t="s">
        <v>133</v>
      </c>
      <c r="Z1" t="s">
        <v>103</v>
      </c>
      <c r="AA1" t="s">
        <v>134</v>
      </c>
      <c r="AD1" t="s">
        <v>125</v>
      </c>
      <c r="AE1" t="s">
        <v>130</v>
      </c>
      <c r="AF1" t="s">
        <v>126</v>
      </c>
      <c r="AH1" t="s">
        <v>132</v>
      </c>
      <c r="AI1">
        <v>0.84689999999999999</v>
      </c>
      <c r="AJ1" t="s">
        <v>131</v>
      </c>
    </row>
    <row r="2" spans="1:36" x14ac:dyDescent="0.45">
      <c r="A2" t="s">
        <v>15</v>
      </c>
      <c r="B2" t="s">
        <v>16</v>
      </c>
      <c r="C2" t="s">
        <v>17</v>
      </c>
      <c r="D2">
        <v>0.1</v>
      </c>
      <c r="E2" s="1">
        <v>1.135</v>
      </c>
      <c r="F2" s="2">
        <v>0.113</v>
      </c>
      <c r="G2">
        <v>5.54</v>
      </c>
      <c r="H2" t="s">
        <v>18</v>
      </c>
      <c r="I2">
        <v>70523</v>
      </c>
      <c r="K2" t="s">
        <v>19</v>
      </c>
      <c r="L2" t="s">
        <v>20</v>
      </c>
      <c r="M2" s="1">
        <v>1.72E-2</v>
      </c>
      <c r="N2" s="2">
        <v>1.72E-2</v>
      </c>
      <c r="O2" t="b">
        <v>0</v>
      </c>
      <c r="Y2" t="s">
        <v>104</v>
      </c>
      <c r="Z2" s="6">
        <v>0.14699999999999999</v>
      </c>
      <c r="AA2" s="6">
        <v>0.17357421183138505</v>
      </c>
      <c r="AC2" t="s">
        <v>127</v>
      </c>
      <c r="AD2" s="5">
        <v>1.35E-2</v>
      </c>
      <c r="AE2" s="5">
        <v>1.5940488841657812E-2</v>
      </c>
      <c r="AF2" s="5">
        <v>0.13700000000000001</v>
      </c>
      <c r="AG2" s="5">
        <v>0.16176644231904594</v>
      </c>
      <c r="AH2" s="5">
        <v>0.17770693116070374</v>
      </c>
    </row>
    <row r="3" spans="1:36" x14ac:dyDescent="0.45">
      <c r="A3" t="s">
        <v>21</v>
      </c>
      <c r="B3" t="s">
        <v>22</v>
      </c>
      <c r="C3" t="s">
        <v>17</v>
      </c>
      <c r="D3">
        <v>0.5</v>
      </c>
      <c r="E3" s="1">
        <v>0.98299999999999998</v>
      </c>
      <c r="F3" s="2">
        <v>0.49099999999999999</v>
      </c>
      <c r="G3">
        <v>5.5</v>
      </c>
      <c r="H3" t="s">
        <v>18</v>
      </c>
      <c r="I3">
        <v>378148</v>
      </c>
      <c r="K3" t="s">
        <v>19</v>
      </c>
      <c r="L3" t="s">
        <v>20</v>
      </c>
      <c r="M3" s="1">
        <v>8.3099999999999993E-2</v>
      </c>
      <c r="N3" s="2">
        <v>9.9400000000000002E-2</v>
      </c>
      <c r="O3" t="b">
        <v>0</v>
      </c>
      <c r="Y3" t="s">
        <v>105</v>
      </c>
      <c r="Z3" s="6">
        <v>0.14000000000000001</v>
      </c>
      <c r="AA3" s="6">
        <v>0.165308773172748</v>
      </c>
      <c r="AC3" t="s">
        <v>128</v>
      </c>
      <c r="AD3" s="5">
        <v>1.4500000000000001E-2</v>
      </c>
      <c r="AE3" s="5">
        <v>1.7121265792891725E-2</v>
      </c>
      <c r="AF3" s="5">
        <v>0.13800000000000001</v>
      </c>
      <c r="AG3" s="5">
        <v>0.16294721927027986</v>
      </c>
      <c r="AH3" s="5">
        <v>0.18006848506317158</v>
      </c>
    </row>
    <row r="4" spans="1:36" x14ac:dyDescent="0.45">
      <c r="A4" t="s">
        <v>23</v>
      </c>
      <c r="B4" t="s">
        <v>24</v>
      </c>
      <c r="C4" t="s">
        <v>17</v>
      </c>
      <c r="D4">
        <v>0.98</v>
      </c>
      <c r="E4" s="3">
        <v>0.97</v>
      </c>
      <c r="F4" s="2">
        <v>0.95099999999999996</v>
      </c>
      <c r="G4">
        <v>5.5</v>
      </c>
      <c r="H4" t="s">
        <v>18</v>
      </c>
      <c r="I4">
        <v>800617</v>
      </c>
      <c r="K4" t="s">
        <v>19</v>
      </c>
      <c r="L4" t="s">
        <v>20</v>
      </c>
      <c r="M4" s="1">
        <v>0.14069999999999999</v>
      </c>
      <c r="N4" s="2">
        <v>0.19900000000000001</v>
      </c>
      <c r="O4" t="b">
        <v>0</v>
      </c>
      <c r="Y4" t="s">
        <v>106</v>
      </c>
      <c r="Z4" s="6">
        <v>0.13900000000000001</v>
      </c>
      <c r="AA4" s="6">
        <v>0.16412799622151378</v>
      </c>
      <c r="AC4" t="s">
        <v>129</v>
      </c>
      <c r="AD4" s="5">
        <v>1.47E-2</v>
      </c>
      <c r="AE4" s="5">
        <v>1.7357421183138506E-2</v>
      </c>
      <c r="AF4" s="5">
        <v>0.13500000000000001</v>
      </c>
      <c r="AG4" s="5">
        <v>0.15940488841657813</v>
      </c>
      <c r="AH4" s="5">
        <v>0.17676230959971664</v>
      </c>
    </row>
    <row r="5" spans="1:36" x14ac:dyDescent="0.45">
      <c r="A5" t="s">
        <v>25</v>
      </c>
      <c r="B5" t="s">
        <v>26</v>
      </c>
      <c r="C5" t="s">
        <v>17</v>
      </c>
      <c r="D5">
        <v>2.5</v>
      </c>
      <c r="E5" s="1">
        <v>0.85299999999999998</v>
      </c>
      <c r="F5" s="2">
        <v>2.13</v>
      </c>
      <c r="G5">
        <v>5.5</v>
      </c>
      <c r="H5" t="s">
        <v>18</v>
      </c>
      <c r="I5">
        <v>2161422</v>
      </c>
      <c r="K5" t="s">
        <v>19</v>
      </c>
      <c r="L5" t="s">
        <v>20</v>
      </c>
      <c r="M5" s="1">
        <v>0.25629999999999997</v>
      </c>
      <c r="N5" s="2">
        <v>0.45600000000000002</v>
      </c>
      <c r="O5" t="b">
        <v>0</v>
      </c>
      <c r="Y5" t="s">
        <v>107</v>
      </c>
      <c r="Z5" s="6">
        <v>0.13700000000000001</v>
      </c>
      <c r="AA5" s="6">
        <v>0.16176644231904594</v>
      </c>
    </row>
    <row r="6" spans="1:36" x14ac:dyDescent="0.45">
      <c r="A6" t="s">
        <v>27</v>
      </c>
      <c r="B6" t="s">
        <v>28</v>
      </c>
      <c r="C6" t="s">
        <v>17</v>
      </c>
      <c r="D6">
        <v>4.9000000000000004</v>
      </c>
      <c r="E6" s="1">
        <v>1.135</v>
      </c>
      <c r="F6" s="2">
        <v>5.56</v>
      </c>
      <c r="G6">
        <v>5.5</v>
      </c>
      <c r="H6" t="s">
        <v>18</v>
      </c>
      <c r="I6">
        <v>5026920</v>
      </c>
      <c r="K6" t="s">
        <v>19</v>
      </c>
      <c r="L6" t="s">
        <v>20</v>
      </c>
      <c r="M6" s="1">
        <v>0.37459999999999999</v>
      </c>
      <c r="N6" s="2">
        <v>1.2</v>
      </c>
      <c r="O6" t="b">
        <v>0</v>
      </c>
      <c r="Y6" t="s">
        <v>108</v>
      </c>
      <c r="Z6" s="6">
        <v>0.14000000000000001</v>
      </c>
      <c r="AA6" s="6">
        <v>0.1653087731727477</v>
      </c>
    </row>
    <row r="7" spans="1:36" x14ac:dyDescent="0.45">
      <c r="A7" t="s">
        <v>29</v>
      </c>
      <c r="B7" t="s">
        <v>30</v>
      </c>
      <c r="C7" t="s">
        <v>17</v>
      </c>
      <c r="D7">
        <v>9.99</v>
      </c>
      <c r="E7" s="1">
        <v>0.92200000000000004</v>
      </c>
      <c r="F7" s="2">
        <v>9.2100000000000009</v>
      </c>
      <c r="G7">
        <v>5.5</v>
      </c>
      <c r="H7" t="s">
        <v>18</v>
      </c>
      <c r="I7">
        <v>9187826</v>
      </c>
      <c r="K7" t="s">
        <v>19</v>
      </c>
      <c r="L7" t="s">
        <v>20</v>
      </c>
      <c r="M7" s="1">
        <v>0.41239999999999999</v>
      </c>
      <c r="N7" s="2">
        <v>1.99</v>
      </c>
      <c r="O7" t="b">
        <v>0</v>
      </c>
      <c r="Y7" t="s">
        <v>109</v>
      </c>
      <c r="Z7" s="6">
        <v>0.13700000000000001</v>
      </c>
      <c r="AA7" s="6">
        <v>0.16176644231904594</v>
      </c>
    </row>
    <row r="8" spans="1:36" x14ac:dyDescent="0.45">
      <c r="A8" t="s">
        <v>31</v>
      </c>
      <c r="B8" t="s">
        <v>32</v>
      </c>
      <c r="C8" t="s">
        <v>17</v>
      </c>
      <c r="D8">
        <v>24.9</v>
      </c>
      <c r="E8" s="1">
        <v>1.073</v>
      </c>
      <c r="F8" s="2">
        <v>26.7</v>
      </c>
      <c r="G8">
        <v>5.5</v>
      </c>
      <c r="H8" t="s">
        <v>18</v>
      </c>
      <c r="I8">
        <v>23577052</v>
      </c>
      <c r="K8" t="s">
        <v>19</v>
      </c>
      <c r="L8" t="s">
        <v>20</v>
      </c>
      <c r="M8" s="1">
        <v>0.46500000000000002</v>
      </c>
      <c r="N8" s="2">
        <v>5.8</v>
      </c>
      <c r="O8" t="b">
        <v>0</v>
      </c>
      <c r="Y8" t="s">
        <v>110</v>
      </c>
      <c r="Z8" s="6">
        <v>0.14499999999999999</v>
      </c>
      <c r="AA8" s="6">
        <v>0.17121265792891721</v>
      </c>
    </row>
    <row r="9" spans="1:36" x14ac:dyDescent="0.45">
      <c r="A9" t="s">
        <v>33</v>
      </c>
      <c r="B9" t="s">
        <v>34</v>
      </c>
      <c r="C9" t="s">
        <v>17</v>
      </c>
      <c r="D9">
        <v>50.3</v>
      </c>
      <c r="E9" s="1">
        <v>0.88800000000000001</v>
      </c>
      <c r="F9" s="2">
        <v>44.7</v>
      </c>
      <c r="G9">
        <v>5.5</v>
      </c>
      <c r="H9" t="s">
        <v>18</v>
      </c>
      <c r="I9">
        <v>40864664</v>
      </c>
      <c r="K9" t="s">
        <v>19</v>
      </c>
      <c r="L9" t="s">
        <v>20</v>
      </c>
      <c r="M9" s="1">
        <v>0.47970000000000002</v>
      </c>
      <c r="N9" s="2">
        <v>9.7100000000000009</v>
      </c>
      <c r="O9" t="b">
        <v>0</v>
      </c>
      <c r="Y9" t="s">
        <v>111</v>
      </c>
      <c r="Z9" s="6">
        <v>0.14299999999999999</v>
      </c>
      <c r="AA9" s="6">
        <v>0.1688511040264494</v>
      </c>
    </row>
    <row r="10" spans="1:36" x14ac:dyDescent="0.45">
      <c r="A10" t="s">
        <v>35</v>
      </c>
      <c r="B10" t="s">
        <v>36</v>
      </c>
      <c r="C10" t="s">
        <v>17</v>
      </c>
      <c r="D10">
        <v>103.7</v>
      </c>
      <c r="E10" s="1">
        <v>1.042</v>
      </c>
      <c r="F10" s="2">
        <v>108</v>
      </c>
      <c r="G10">
        <v>5.5</v>
      </c>
      <c r="H10" t="s">
        <v>18</v>
      </c>
      <c r="I10">
        <v>104431448</v>
      </c>
      <c r="K10" t="s">
        <v>19</v>
      </c>
      <c r="L10" t="s">
        <v>20</v>
      </c>
      <c r="M10" s="1">
        <v>0.5353</v>
      </c>
      <c r="N10" s="2">
        <v>23.5</v>
      </c>
      <c r="O10" t="b">
        <v>0</v>
      </c>
      <c r="Y10" t="s">
        <v>112</v>
      </c>
      <c r="Z10" s="6">
        <v>0.15</v>
      </c>
      <c r="AA10" s="6">
        <v>0.17711654268508678</v>
      </c>
    </row>
    <row r="11" spans="1:36" x14ac:dyDescent="0.45">
      <c r="A11" t="s">
        <v>37</v>
      </c>
      <c r="B11" t="s">
        <v>38</v>
      </c>
      <c r="C11" t="s">
        <v>17</v>
      </c>
      <c r="D11">
        <v>256.08</v>
      </c>
      <c r="E11" s="3">
        <v>0.14000000000000001</v>
      </c>
      <c r="F11" s="2">
        <v>35.9</v>
      </c>
      <c r="G11">
        <v>5.54</v>
      </c>
      <c r="H11" t="s">
        <v>18</v>
      </c>
      <c r="I11">
        <v>35109176</v>
      </c>
      <c r="K11" t="s">
        <v>19</v>
      </c>
      <c r="L11" t="s">
        <v>20</v>
      </c>
      <c r="M11" s="1">
        <v>0.1603</v>
      </c>
      <c r="N11" s="2">
        <v>7.81</v>
      </c>
      <c r="O11" t="b">
        <v>1</v>
      </c>
      <c r="Y11" t="s">
        <v>113</v>
      </c>
      <c r="Z11" s="6">
        <v>0.14899999999999999</v>
      </c>
      <c r="AA11" s="6">
        <v>0.17593576573385286</v>
      </c>
    </row>
    <row r="12" spans="1:36" x14ac:dyDescent="0.45">
      <c r="A12" t="s">
        <v>37</v>
      </c>
      <c r="B12" t="s">
        <v>39</v>
      </c>
      <c r="C12" t="s">
        <v>17</v>
      </c>
      <c r="D12">
        <v>515.09</v>
      </c>
      <c r="E12" s="1">
        <v>1.653</v>
      </c>
      <c r="F12" s="2">
        <v>851</v>
      </c>
      <c r="G12">
        <v>5.5</v>
      </c>
      <c r="H12" t="s">
        <v>18</v>
      </c>
      <c r="I12">
        <v>721887104</v>
      </c>
      <c r="K12" t="s">
        <v>19</v>
      </c>
      <c r="L12" t="s">
        <v>20</v>
      </c>
      <c r="M12" s="1">
        <v>0.4869</v>
      </c>
      <c r="N12" s="2">
        <v>185</v>
      </c>
      <c r="O12" t="b">
        <v>1</v>
      </c>
      <c r="Y12" t="s">
        <v>114</v>
      </c>
      <c r="Z12" s="6">
        <v>0.15</v>
      </c>
      <c r="AA12" s="6">
        <v>0.17711654268508678</v>
      </c>
    </row>
    <row r="13" spans="1:36" x14ac:dyDescent="0.45">
      <c r="A13" t="s">
        <v>40</v>
      </c>
      <c r="B13" t="s">
        <v>41</v>
      </c>
      <c r="C13" t="s">
        <v>42</v>
      </c>
      <c r="E13" t="e">
        <v>#N/A</v>
      </c>
      <c r="F13">
        <v>0</v>
      </c>
      <c r="G13" t="e">
        <v>#N/A</v>
      </c>
      <c r="H13" t="s">
        <v>18</v>
      </c>
      <c r="I13">
        <v>0</v>
      </c>
      <c r="K13" t="s">
        <v>19</v>
      </c>
      <c r="L13" t="s">
        <v>20</v>
      </c>
      <c r="M13" t="e">
        <v>#N/A</v>
      </c>
      <c r="N13">
        <v>0</v>
      </c>
      <c r="O13" t="b">
        <v>0</v>
      </c>
      <c r="Y13" t="s">
        <v>115</v>
      </c>
      <c r="Z13" s="6">
        <v>0.1406</v>
      </c>
      <c r="AA13" s="6">
        <v>0.16601723934348803</v>
      </c>
    </row>
    <row r="14" spans="1:36" x14ac:dyDescent="0.45">
      <c r="A14" t="s">
        <v>40</v>
      </c>
      <c r="B14" t="s">
        <v>43</v>
      </c>
      <c r="C14" t="s">
        <v>42</v>
      </c>
      <c r="E14" t="e">
        <v>#N/A</v>
      </c>
      <c r="F14">
        <v>0</v>
      </c>
      <c r="G14" t="e">
        <v>#N/A</v>
      </c>
      <c r="H14" t="s">
        <v>18</v>
      </c>
      <c r="I14">
        <v>0</v>
      </c>
      <c r="K14" t="s">
        <v>19</v>
      </c>
      <c r="L14" t="s">
        <v>20</v>
      </c>
      <c r="M14" t="e">
        <v>#N/A</v>
      </c>
      <c r="N14">
        <v>0</v>
      </c>
      <c r="O14" t="b">
        <v>0</v>
      </c>
      <c r="P14" t="s">
        <v>141</v>
      </c>
      <c r="Q14">
        <v>0.72499999999999998</v>
      </c>
      <c r="U14" s="2">
        <f>Q14*$AA$22/1000</f>
        <v>1.2397499999999999E-4</v>
      </c>
      <c r="V14" s="2">
        <f>U14*1000</f>
        <v>0.12397499999999999</v>
      </c>
      <c r="Y14" t="s">
        <v>116</v>
      </c>
      <c r="Z14" s="6">
        <v>0.15010000000000001</v>
      </c>
      <c r="AA14" s="6">
        <v>0.17723462038021021</v>
      </c>
    </row>
    <row r="15" spans="1:36" x14ac:dyDescent="0.45">
      <c r="A15" t="s">
        <v>40</v>
      </c>
      <c r="B15" t="s">
        <v>44</v>
      </c>
      <c r="C15" t="s">
        <v>42</v>
      </c>
      <c r="E15" t="e">
        <v>#N/A</v>
      </c>
      <c r="F15">
        <v>0</v>
      </c>
      <c r="G15" t="e">
        <v>#N/A</v>
      </c>
      <c r="H15" t="s">
        <v>18</v>
      </c>
      <c r="I15">
        <v>0</v>
      </c>
      <c r="K15" t="s">
        <v>19</v>
      </c>
      <c r="L15" t="s">
        <v>20</v>
      </c>
      <c r="M15" t="e">
        <v>#N/A</v>
      </c>
      <c r="N15">
        <v>0</v>
      </c>
      <c r="O15" t="b">
        <v>0</v>
      </c>
      <c r="Y15" t="s">
        <v>117</v>
      </c>
      <c r="Z15" s="6">
        <v>0.14499999999999999</v>
      </c>
      <c r="AA15" s="6">
        <v>0.17121265792891721</v>
      </c>
    </row>
    <row r="16" spans="1:36" x14ac:dyDescent="0.45">
      <c r="A16" s="7" t="s">
        <v>45</v>
      </c>
      <c r="B16" t="s">
        <v>46</v>
      </c>
      <c r="C16" t="s">
        <v>47</v>
      </c>
      <c r="E16" t="e">
        <v>#N/A</v>
      </c>
      <c r="F16" s="8">
        <v>0.90500000000000003</v>
      </c>
      <c r="G16">
        <v>5.5</v>
      </c>
      <c r="H16" t="s">
        <v>18</v>
      </c>
      <c r="I16">
        <v>1310534</v>
      </c>
      <c r="K16" t="s">
        <v>19</v>
      </c>
      <c r="L16" t="s">
        <v>20</v>
      </c>
      <c r="M16" s="1">
        <v>0.1893</v>
      </c>
      <c r="N16" s="2">
        <v>0.189</v>
      </c>
      <c r="O16" t="b">
        <v>0</v>
      </c>
      <c r="U16" s="2">
        <f>F16*$AA$17/1000</f>
        <v>1.463986302987366E-4</v>
      </c>
      <c r="V16" s="2">
        <f t="shared" ref="V16:V18" si="0">U16*1000</f>
        <v>0.14639863029873659</v>
      </c>
      <c r="Y16" t="s">
        <v>118</v>
      </c>
      <c r="Z16" s="6">
        <v>0.151</v>
      </c>
      <c r="AA16" s="6">
        <v>0.1782973196363207</v>
      </c>
    </row>
    <row r="17" spans="1:29" x14ac:dyDescent="0.45">
      <c r="A17" t="s">
        <v>45</v>
      </c>
      <c r="B17" t="s">
        <v>48</v>
      </c>
      <c r="C17" t="s">
        <v>47</v>
      </c>
      <c r="E17" t="e">
        <v>#N/A</v>
      </c>
      <c r="F17" s="2">
        <v>4.1000000000000002E-2</v>
      </c>
      <c r="G17">
        <v>5.5</v>
      </c>
      <c r="H17" t="s">
        <v>18</v>
      </c>
      <c r="I17">
        <v>9813</v>
      </c>
      <c r="K17" t="s">
        <v>19</v>
      </c>
      <c r="L17" t="s">
        <v>20</v>
      </c>
      <c r="M17" s="1">
        <v>1.5E-3</v>
      </c>
      <c r="N17" s="2">
        <v>1.49E-3</v>
      </c>
      <c r="O17" t="b">
        <v>0</v>
      </c>
      <c r="P17" t="s">
        <v>100</v>
      </c>
      <c r="S17" t="s">
        <v>137</v>
      </c>
      <c r="U17" s="9">
        <f>F17*$AA$18/1000</f>
        <v>7.2133663950879673E-6</v>
      </c>
      <c r="V17" s="9">
        <f t="shared" si="0"/>
        <v>7.2133663950879673E-3</v>
      </c>
      <c r="Y17" t="s">
        <v>119</v>
      </c>
      <c r="Z17" s="6">
        <v>0.13700000000000001</v>
      </c>
      <c r="AA17" s="6">
        <v>0.16176644231904594</v>
      </c>
    </row>
    <row r="18" spans="1:29" x14ac:dyDescent="0.45">
      <c r="A18" t="s">
        <v>45</v>
      </c>
      <c r="B18" t="s">
        <v>49</v>
      </c>
      <c r="C18" t="s">
        <v>47</v>
      </c>
      <c r="E18" t="e">
        <v>#N/A</v>
      </c>
      <c r="F18" s="2">
        <v>7.5200000000000003E-2</v>
      </c>
      <c r="G18">
        <v>5.5</v>
      </c>
      <c r="H18" t="s">
        <v>18</v>
      </c>
      <c r="I18">
        <v>66283</v>
      </c>
      <c r="K18" t="s">
        <v>19</v>
      </c>
      <c r="L18" t="s">
        <v>20</v>
      </c>
      <c r="M18" s="1">
        <v>8.8999999999999999E-3</v>
      </c>
      <c r="N18" s="2">
        <v>8.9300000000000004E-3</v>
      </c>
      <c r="O18" t="b">
        <v>0</v>
      </c>
      <c r="P18" t="s">
        <v>100</v>
      </c>
      <c r="S18" t="s">
        <v>137</v>
      </c>
      <c r="U18" s="9">
        <f>F18*$AA$19/1000</f>
        <v>1.3407958436651316E-5</v>
      </c>
      <c r="V18" s="9">
        <f t="shared" si="0"/>
        <v>1.3407958436651317E-2</v>
      </c>
      <c r="Y18" t="s">
        <v>120</v>
      </c>
      <c r="Z18" s="6">
        <v>0.14899999999999999</v>
      </c>
      <c r="AA18" s="6">
        <v>0.17593576573385286</v>
      </c>
    </row>
    <row r="19" spans="1:29" x14ac:dyDescent="0.45">
      <c r="A19" t="s">
        <v>50</v>
      </c>
      <c r="B19" t="s">
        <v>51</v>
      </c>
      <c r="C19" t="s">
        <v>47</v>
      </c>
      <c r="E19" t="e">
        <v>#N/A</v>
      </c>
      <c r="F19" s="2">
        <v>0.36799999999999999</v>
      </c>
      <c r="G19">
        <v>5.5</v>
      </c>
      <c r="H19" t="s">
        <v>18</v>
      </c>
      <c r="I19">
        <v>247312</v>
      </c>
      <c r="K19" t="s">
        <v>19</v>
      </c>
      <c r="L19" t="s">
        <v>20</v>
      </c>
      <c r="M19" s="1">
        <v>7.2499999999999995E-2</v>
      </c>
      <c r="N19" s="2">
        <v>7.2499999999999995E-2</v>
      </c>
      <c r="O19" t="b">
        <v>0</v>
      </c>
      <c r="S19" t="s">
        <v>137</v>
      </c>
      <c r="U19" s="9">
        <f>F19*$AA$11/1000</f>
        <v>6.4744361790057848E-5</v>
      </c>
      <c r="V19" s="9">
        <f>U19*1000</f>
        <v>6.4744361790057853E-2</v>
      </c>
      <c r="Y19" t="s">
        <v>121</v>
      </c>
      <c r="Z19" s="6">
        <v>0.151</v>
      </c>
      <c r="AA19" s="6">
        <v>0.1782973196363207</v>
      </c>
    </row>
    <row r="20" spans="1:29" x14ac:dyDescent="0.45">
      <c r="A20" t="s">
        <v>50</v>
      </c>
      <c r="B20" t="s">
        <v>52</v>
      </c>
      <c r="C20" t="s">
        <v>47</v>
      </c>
      <c r="E20" t="e">
        <v>#N/A</v>
      </c>
      <c r="F20" s="2">
        <v>5.1700000000000003E-2</v>
      </c>
      <c r="G20">
        <v>11.2</v>
      </c>
      <c r="H20" t="s">
        <v>18</v>
      </c>
      <c r="I20">
        <v>22234</v>
      </c>
      <c r="K20" t="s">
        <v>19</v>
      </c>
      <c r="L20" t="s">
        <v>20</v>
      </c>
      <c r="M20" s="1">
        <v>3.8E-3</v>
      </c>
      <c r="N20" s="2">
        <v>3.81E-3</v>
      </c>
      <c r="O20" t="b">
        <v>0</v>
      </c>
      <c r="P20" t="s">
        <v>100</v>
      </c>
      <c r="S20" t="s">
        <v>137</v>
      </c>
      <c r="U20" s="9">
        <f>F20*$AA$12/1000</f>
        <v>9.1569252568189873E-6</v>
      </c>
      <c r="V20" s="9">
        <f t="shared" ref="V20:V37" si="1">U20*1000</f>
        <v>9.1569252568189877E-3</v>
      </c>
      <c r="Y20" t="s">
        <v>122</v>
      </c>
      <c r="Z20" s="6">
        <v>0.14899999999999999</v>
      </c>
      <c r="AA20" s="6">
        <v>0.17593576573385286</v>
      </c>
    </row>
    <row r="21" spans="1:29" x14ac:dyDescent="0.45">
      <c r="A21" t="s">
        <v>50</v>
      </c>
      <c r="B21" t="s">
        <v>53</v>
      </c>
      <c r="C21" t="s">
        <v>47</v>
      </c>
      <c r="E21" t="e">
        <v>#N/A</v>
      </c>
      <c r="F21" s="2">
        <v>0.57999999999999996</v>
      </c>
      <c r="G21">
        <v>5.54</v>
      </c>
      <c r="H21" t="s">
        <v>18</v>
      </c>
      <c r="I21">
        <v>444296</v>
      </c>
      <c r="K21" t="s">
        <v>19</v>
      </c>
      <c r="L21" t="s">
        <v>20</v>
      </c>
      <c r="M21" s="1">
        <v>0.1186</v>
      </c>
      <c r="N21" s="2">
        <v>0.11899999999999999</v>
      </c>
      <c r="O21" t="b">
        <v>0</v>
      </c>
      <c r="P21" t="s">
        <v>138</v>
      </c>
      <c r="S21" t="s">
        <v>137</v>
      </c>
      <c r="U21" s="9">
        <f>F21*$AA$13/1000</f>
        <v>9.6289998819223049E-5</v>
      </c>
      <c r="V21" s="9">
        <f t="shared" si="1"/>
        <v>9.6289998819223052E-2</v>
      </c>
    </row>
    <row r="22" spans="1:29" x14ac:dyDescent="0.45">
      <c r="A22" t="s">
        <v>50</v>
      </c>
      <c r="B22" t="s">
        <v>54</v>
      </c>
      <c r="C22" t="s">
        <v>47</v>
      </c>
      <c r="E22" t="e">
        <v>#N/A</v>
      </c>
      <c r="F22" s="2">
        <v>0.746</v>
      </c>
      <c r="G22">
        <v>5.5</v>
      </c>
      <c r="H22" t="s">
        <v>18</v>
      </c>
      <c r="I22">
        <v>511590</v>
      </c>
      <c r="K22" t="s">
        <v>19</v>
      </c>
      <c r="L22" t="s">
        <v>20</v>
      </c>
      <c r="M22" s="1">
        <v>0.13220000000000001</v>
      </c>
      <c r="N22" s="2">
        <v>0.155</v>
      </c>
      <c r="O22" t="b">
        <v>0</v>
      </c>
      <c r="U22" s="2">
        <f>F22*$AA$14/1000</f>
        <v>1.3221702680363682E-4</v>
      </c>
      <c r="V22" s="2">
        <f>U22*1000</f>
        <v>0.13221702680363681</v>
      </c>
      <c r="Y22" t="s">
        <v>142</v>
      </c>
      <c r="AA22" s="6">
        <v>0.17100000000000001</v>
      </c>
      <c r="AC22" t="s">
        <v>143</v>
      </c>
    </row>
    <row r="23" spans="1:29" x14ac:dyDescent="0.45">
      <c r="A23" t="s">
        <v>50</v>
      </c>
      <c r="B23" t="s">
        <v>55</v>
      </c>
      <c r="C23" t="s">
        <v>47</v>
      </c>
      <c r="E23" t="e">
        <v>#N/A</v>
      </c>
      <c r="F23" s="2">
        <v>0.152</v>
      </c>
      <c r="G23">
        <v>5.5</v>
      </c>
      <c r="H23" t="s">
        <v>18</v>
      </c>
      <c r="I23">
        <v>100017</v>
      </c>
      <c r="K23" t="s">
        <v>19</v>
      </c>
      <c r="L23" t="s">
        <v>20</v>
      </c>
      <c r="M23" s="1">
        <v>2.3099999999999999E-2</v>
      </c>
      <c r="N23" s="2">
        <v>2.5600000000000001E-2</v>
      </c>
      <c r="O23" t="b">
        <v>0</v>
      </c>
      <c r="P23" t="s">
        <v>136</v>
      </c>
      <c r="S23" t="s">
        <v>137</v>
      </c>
      <c r="U23" s="9">
        <f>F23*$AA$15/1000</f>
        <v>2.6024324005195415E-5</v>
      </c>
      <c r="V23" s="9">
        <f t="shared" si="1"/>
        <v>2.6024324005195415E-2</v>
      </c>
    </row>
    <row r="24" spans="1:29" x14ac:dyDescent="0.45">
      <c r="A24" t="s">
        <v>50</v>
      </c>
      <c r="B24" t="s">
        <v>56</v>
      </c>
      <c r="C24" t="s">
        <v>47</v>
      </c>
      <c r="E24" t="e">
        <v>#N/A</v>
      </c>
      <c r="F24" s="2">
        <v>0.68899999999999995</v>
      </c>
      <c r="G24">
        <v>5.5</v>
      </c>
      <c r="H24" t="s">
        <v>18</v>
      </c>
      <c r="I24">
        <v>429552</v>
      </c>
      <c r="K24" t="s">
        <v>19</v>
      </c>
      <c r="L24" t="s">
        <v>20</v>
      </c>
      <c r="M24" s="1">
        <v>0.12239999999999999</v>
      </c>
      <c r="N24" s="2">
        <v>0.14199999999999999</v>
      </c>
      <c r="O24" t="b">
        <v>0</v>
      </c>
      <c r="S24" t="s">
        <v>137</v>
      </c>
      <c r="U24" s="9">
        <f>F24*$AA$16/1000</f>
        <v>1.2284685322942496E-4</v>
      </c>
      <c r="V24" s="9">
        <f t="shared" si="1"/>
        <v>0.12284685322942496</v>
      </c>
      <c r="AA24" s="6">
        <f>AVERAGE(AA2:AA20)</f>
        <v>0.17088328330567829</v>
      </c>
    </row>
    <row r="25" spans="1:29" x14ac:dyDescent="0.45">
      <c r="A25" t="s">
        <v>57</v>
      </c>
      <c r="B25" t="s">
        <v>58</v>
      </c>
      <c r="C25" t="s">
        <v>47</v>
      </c>
      <c r="E25" t="e">
        <v>#N/A</v>
      </c>
      <c r="F25" s="2">
        <v>1.91</v>
      </c>
      <c r="G25">
        <v>5.5</v>
      </c>
      <c r="H25" t="s">
        <v>18</v>
      </c>
      <c r="I25">
        <v>1736344</v>
      </c>
      <c r="K25" t="s">
        <v>19</v>
      </c>
      <c r="L25" t="s">
        <v>20</v>
      </c>
      <c r="M25" s="1">
        <v>0.1159</v>
      </c>
      <c r="N25" s="2">
        <v>0.40799999999999997</v>
      </c>
      <c r="O25" t="b">
        <v>0</v>
      </c>
      <c r="U25" s="2">
        <f>F25*$AA$20/1000</f>
        <v>3.3603731255165895E-4</v>
      </c>
      <c r="V25" s="2">
        <f t="shared" si="1"/>
        <v>0.33603731255165897</v>
      </c>
    </row>
    <row r="26" spans="1:29" x14ac:dyDescent="0.45">
      <c r="A26" t="s">
        <v>59</v>
      </c>
      <c r="B26" t="s">
        <v>60</v>
      </c>
      <c r="C26" t="s">
        <v>47</v>
      </c>
      <c r="E26" t="e">
        <v>#N/A</v>
      </c>
      <c r="F26" s="2">
        <v>14.3</v>
      </c>
      <c r="G26">
        <v>5.5</v>
      </c>
      <c r="H26" t="s">
        <v>18</v>
      </c>
      <c r="I26">
        <v>11575068</v>
      </c>
      <c r="K26" t="s">
        <v>19</v>
      </c>
      <c r="L26" t="s">
        <v>20</v>
      </c>
      <c r="M26" s="1">
        <v>0.1133</v>
      </c>
      <c r="N26" s="2">
        <v>3.1</v>
      </c>
      <c r="O26" t="b">
        <v>0</v>
      </c>
      <c r="U26" s="2"/>
      <c r="V26" s="2"/>
    </row>
    <row r="27" spans="1:29" x14ac:dyDescent="0.45">
      <c r="A27" t="s">
        <v>61</v>
      </c>
      <c r="B27" t="s">
        <v>62</v>
      </c>
      <c r="C27" t="s">
        <v>47</v>
      </c>
      <c r="E27" t="e">
        <v>#N/A</v>
      </c>
      <c r="F27" s="2">
        <v>1.01</v>
      </c>
      <c r="G27">
        <v>5.5</v>
      </c>
      <c r="H27" t="s">
        <v>18</v>
      </c>
      <c r="I27">
        <v>1023225</v>
      </c>
      <c r="K27" t="s">
        <v>19</v>
      </c>
      <c r="L27" t="s">
        <v>20</v>
      </c>
      <c r="M27" s="1">
        <v>7.7200000000000005E-2</v>
      </c>
      <c r="N27" s="2">
        <v>0.21199999999999999</v>
      </c>
      <c r="O27" t="b">
        <v>0</v>
      </c>
      <c r="T27" s="2">
        <f>F27*$AH$2/$AE$2</f>
        <v>11.259629629629629</v>
      </c>
      <c r="U27" s="2">
        <f>T27*$AA$5/1000</f>
        <v>1.8214302270153019E-3</v>
      </c>
      <c r="V27" s="2">
        <f t="shared" si="1"/>
        <v>1.821430227015302</v>
      </c>
    </row>
    <row r="28" spans="1:29" x14ac:dyDescent="0.45">
      <c r="A28" t="s">
        <v>59</v>
      </c>
      <c r="B28" t="s">
        <v>63</v>
      </c>
      <c r="C28" t="s">
        <v>47</v>
      </c>
      <c r="E28" t="e">
        <v>#N/A</v>
      </c>
      <c r="F28" s="2">
        <v>20.3</v>
      </c>
      <c r="G28">
        <v>5.48</v>
      </c>
      <c r="H28" t="s">
        <v>18</v>
      </c>
      <c r="I28">
        <v>10889104</v>
      </c>
      <c r="K28" t="s">
        <v>19</v>
      </c>
      <c r="L28" t="s">
        <v>20</v>
      </c>
      <c r="M28" s="1">
        <v>8.5400000000000004E-2</v>
      </c>
      <c r="N28" s="2">
        <v>4.41</v>
      </c>
      <c r="O28" t="b">
        <v>0</v>
      </c>
      <c r="U28" s="2"/>
      <c r="V28" s="2"/>
    </row>
    <row r="29" spans="1:29" x14ac:dyDescent="0.45">
      <c r="A29" t="s">
        <v>61</v>
      </c>
      <c r="B29" t="s">
        <v>64</v>
      </c>
      <c r="C29" t="s">
        <v>47</v>
      </c>
      <c r="E29" t="e">
        <v>#N/A</v>
      </c>
      <c r="F29" s="2">
        <v>3.66</v>
      </c>
      <c r="G29">
        <v>5.5</v>
      </c>
      <c r="H29" t="s">
        <v>18</v>
      </c>
      <c r="I29">
        <v>3318650</v>
      </c>
      <c r="K29" t="s">
        <v>19</v>
      </c>
      <c r="L29" t="s">
        <v>20</v>
      </c>
      <c r="M29" s="1">
        <v>8.9800000000000005E-2</v>
      </c>
      <c r="N29" s="2">
        <v>0.78900000000000003</v>
      </c>
      <c r="O29" t="b">
        <v>0</v>
      </c>
      <c r="T29" s="2">
        <f>F29*$AH$3/$AE$3</f>
        <v>38.493103448275861</v>
      </c>
      <c r="U29" s="2">
        <f>T29*$AA$6/1000</f>
        <v>6.3632477066461459E-3</v>
      </c>
      <c r="V29" s="2">
        <f t="shared" si="1"/>
        <v>6.3632477066461464</v>
      </c>
    </row>
    <row r="30" spans="1:29" x14ac:dyDescent="0.45">
      <c r="A30" t="s">
        <v>59</v>
      </c>
      <c r="B30" t="s">
        <v>65</v>
      </c>
      <c r="C30" t="s">
        <v>47</v>
      </c>
      <c r="E30" t="e">
        <v>#N/A</v>
      </c>
      <c r="F30" s="2">
        <v>11.2</v>
      </c>
      <c r="G30">
        <v>5.5</v>
      </c>
      <c r="H30" t="s">
        <v>18</v>
      </c>
      <c r="I30">
        <v>7398863</v>
      </c>
      <c r="K30" t="s">
        <v>19</v>
      </c>
      <c r="L30" t="s">
        <v>20</v>
      </c>
      <c r="M30" s="1">
        <v>7.2700000000000001E-2</v>
      </c>
      <c r="N30" s="2">
        <v>2.42</v>
      </c>
      <c r="O30" t="b">
        <v>0</v>
      </c>
      <c r="U30" s="2"/>
      <c r="V30" s="2"/>
    </row>
    <row r="31" spans="1:29" x14ac:dyDescent="0.45">
      <c r="A31" t="s">
        <v>61</v>
      </c>
      <c r="B31" t="s">
        <v>66</v>
      </c>
      <c r="C31" t="s">
        <v>47</v>
      </c>
      <c r="E31" t="e">
        <v>#N/A</v>
      </c>
      <c r="F31" s="2">
        <v>2.2200000000000002</v>
      </c>
      <c r="G31">
        <v>5.5</v>
      </c>
      <c r="H31" t="s">
        <v>18</v>
      </c>
      <c r="I31">
        <v>2051954</v>
      </c>
      <c r="K31" t="s">
        <v>19</v>
      </c>
      <c r="L31" t="s">
        <v>20</v>
      </c>
      <c r="M31" s="1">
        <v>0.14710000000000001</v>
      </c>
      <c r="N31" s="2">
        <v>0.47399999999999998</v>
      </c>
      <c r="O31" t="b">
        <v>0</v>
      </c>
      <c r="T31" s="2">
        <f>F31*$AH$4/$AE$4</f>
        <v>22.607755102040823</v>
      </c>
      <c r="U31" s="2">
        <f>T31*$AA$7/600</f>
        <v>6.0952935194623394E-3</v>
      </c>
      <c r="V31" s="2">
        <f t="shared" si="1"/>
        <v>6.0952935194623397</v>
      </c>
    </row>
    <row r="32" spans="1:29" x14ac:dyDescent="0.45">
      <c r="A32" t="s">
        <v>67</v>
      </c>
      <c r="B32" t="s">
        <v>68</v>
      </c>
      <c r="C32" t="s">
        <v>47</v>
      </c>
      <c r="E32" t="e">
        <v>#N/A</v>
      </c>
      <c r="F32" s="2">
        <v>0.11600000000000001</v>
      </c>
      <c r="G32">
        <v>5.5</v>
      </c>
      <c r="H32" t="s">
        <v>18</v>
      </c>
      <c r="I32">
        <v>94839</v>
      </c>
      <c r="K32" t="s">
        <v>19</v>
      </c>
      <c r="L32" t="s">
        <v>20</v>
      </c>
      <c r="M32" s="1">
        <v>1.67E-2</v>
      </c>
      <c r="N32" s="2">
        <v>1.77E-2</v>
      </c>
      <c r="O32" t="b">
        <v>0</v>
      </c>
      <c r="P32" t="s">
        <v>100</v>
      </c>
      <c r="S32" t="s">
        <v>137</v>
      </c>
      <c r="U32" s="9">
        <f>F32*$AA$8/1000</f>
        <v>1.9860668319754399E-5</v>
      </c>
      <c r="V32" s="9">
        <f t="shared" si="1"/>
        <v>1.9860668319754398E-2</v>
      </c>
    </row>
    <row r="33" spans="1:22" x14ac:dyDescent="0.45">
      <c r="A33" t="s">
        <v>67</v>
      </c>
      <c r="B33" t="s">
        <v>69</v>
      </c>
      <c r="C33" t="s">
        <v>47</v>
      </c>
      <c r="E33" t="e">
        <v>#N/A</v>
      </c>
      <c r="F33" s="2">
        <v>4.9000000000000002E-2</v>
      </c>
      <c r="G33">
        <v>10.14</v>
      </c>
      <c r="H33" t="s">
        <v>18</v>
      </c>
      <c r="I33">
        <v>16894</v>
      </c>
      <c r="K33" t="s">
        <v>19</v>
      </c>
      <c r="L33" t="s">
        <v>20</v>
      </c>
      <c r="M33" s="1">
        <v>3.2000000000000002E-3</v>
      </c>
      <c r="N33" s="2">
        <v>3.2299999999999998E-3</v>
      </c>
      <c r="O33" t="b">
        <v>0</v>
      </c>
      <c r="P33" t="s">
        <v>100</v>
      </c>
      <c r="S33" t="s">
        <v>137</v>
      </c>
      <c r="U33" s="9">
        <f>F33*$AA$9/1000</f>
        <v>8.2737040972960211E-6</v>
      </c>
      <c r="V33" s="9">
        <f t="shared" si="1"/>
        <v>8.2737040972960217E-3</v>
      </c>
    </row>
    <row r="34" spans="1:22" x14ac:dyDescent="0.45">
      <c r="A34" t="s">
        <v>67</v>
      </c>
      <c r="B34" t="s">
        <v>70</v>
      </c>
      <c r="C34" t="s">
        <v>47</v>
      </c>
      <c r="E34" t="e">
        <v>#N/A</v>
      </c>
      <c r="F34" s="2">
        <v>0.314</v>
      </c>
      <c r="G34">
        <v>5.5</v>
      </c>
      <c r="H34" t="s">
        <v>18</v>
      </c>
      <c r="I34">
        <v>221673</v>
      </c>
      <c r="K34" t="s">
        <v>19</v>
      </c>
      <c r="L34" t="s">
        <v>20</v>
      </c>
      <c r="M34" s="1">
        <v>4.8999999999999998E-3</v>
      </c>
      <c r="N34" s="2">
        <v>6.0900000000000003E-2</v>
      </c>
      <c r="O34" t="b">
        <v>0</v>
      </c>
      <c r="S34" t="s">
        <v>137</v>
      </c>
      <c r="U34" s="9">
        <f>F34*$AA$10/1000</f>
        <v>5.5614594403117248E-5</v>
      </c>
      <c r="V34" s="9">
        <f t="shared" si="1"/>
        <v>5.5614594403117251E-2</v>
      </c>
    </row>
    <row r="35" spans="1:22" x14ac:dyDescent="0.45">
      <c r="A35" t="s">
        <v>71</v>
      </c>
      <c r="B35" t="s">
        <v>72</v>
      </c>
      <c r="C35" t="s">
        <v>47</v>
      </c>
      <c r="E35" t="e">
        <v>#N/A</v>
      </c>
      <c r="F35" s="2">
        <v>0.1</v>
      </c>
      <c r="G35">
        <v>5.5</v>
      </c>
      <c r="H35" t="s">
        <v>18</v>
      </c>
      <c r="I35">
        <v>49797</v>
      </c>
      <c r="K35" t="s">
        <v>19</v>
      </c>
      <c r="L35" t="s">
        <v>20</v>
      </c>
      <c r="M35" s="1">
        <v>1.06E-2</v>
      </c>
      <c r="N35" s="2">
        <v>1.43E-2</v>
      </c>
      <c r="O35" t="b">
        <v>0</v>
      </c>
      <c r="P35" t="s">
        <v>100</v>
      </c>
      <c r="S35" t="s">
        <v>137</v>
      </c>
      <c r="U35" s="9">
        <f>F35*$AA$2/1000</f>
        <v>1.7357421183138506E-5</v>
      </c>
      <c r="V35" s="9">
        <f t="shared" si="1"/>
        <v>1.7357421183138506E-2</v>
      </c>
    </row>
    <row r="36" spans="1:22" x14ac:dyDescent="0.45">
      <c r="A36" t="s">
        <v>71</v>
      </c>
      <c r="B36" t="s">
        <v>73</v>
      </c>
      <c r="C36" t="s">
        <v>47</v>
      </c>
      <c r="E36" t="e">
        <v>#N/A</v>
      </c>
      <c r="F36" s="2">
        <v>0.16900000000000001</v>
      </c>
      <c r="G36">
        <v>5.5</v>
      </c>
      <c r="H36" t="s">
        <v>18</v>
      </c>
      <c r="I36">
        <v>93295</v>
      </c>
      <c r="K36" t="s">
        <v>19</v>
      </c>
      <c r="L36" t="s">
        <v>20</v>
      </c>
      <c r="M36" s="1">
        <v>1.3899999999999999E-2</v>
      </c>
      <c r="N36" s="2">
        <v>2.93E-2</v>
      </c>
      <c r="O36" t="b">
        <v>0</v>
      </c>
      <c r="P36" t="s">
        <v>100</v>
      </c>
      <c r="S36" t="s">
        <v>137</v>
      </c>
      <c r="U36" s="9">
        <f>F36*$AA$3/1000</f>
        <v>2.7937182666194413E-5</v>
      </c>
      <c r="V36" s="9">
        <f t="shared" si="1"/>
        <v>2.7937182666194414E-2</v>
      </c>
    </row>
    <row r="37" spans="1:22" x14ac:dyDescent="0.45">
      <c r="A37" t="s">
        <v>71</v>
      </c>
      <c r="B37" t="s">
        <v>74</v>
      </c>
      <c r="C37" t="s">
        <v>47</v>
      </c>
      <c r="E37" t="e">
        <v>#N/A</v>
      </c>
      <c r="F37" s="2">
        <v>0.11</v>
      </c>
      <c r="G37">
        <v>5.5</v>
      </c>
      <c r="H37" t="s">
        <v>18</v>
      </c>
      <c r="I37">
        <v>52753</v>
      </c>
      <c r="K37" t="s">
        <v>19</v>
      </c>
      <c r="L37" t="s">
        <v>20</v>
      </c>
      <c r="M37" s="1">
        <v>0.01</v>
      </c>
      <c r="N37" s="2">
        <v>1.66E-2</v>
      </c>
      <c r="O37" t="b">
        <v>0</v>
      </c>
      <c r="P37" t="s">
        <v>100</v>
      </c>
      <c r="S37" t="s">
        <v>137</v>
      </c>
      <c r="U37" s="9">
        <f>F37*$AA$4/1000</f>
        <v>1.8054079584366516E-5</v>
      </c>
      <c r="V37" s="9">
        <f t="shared" si="1"/>
        <v>1.8054079584366514E-2</v>
      </c>
    </row>
    <row r="38" spans="1:22" x14ac:dyDescent="0.45">
      <c r="A38" t="s">
        <v>37</v>
      </c>
      <c r="B38" t="s">
        <v>75</v>
      </c>
      <c r="C38" t="s">
        <v>47</v>
      </c>
      <c r="E38" t="e">
        <v>#N/A</v>
      </c>
      <c r="F38" s="2">
        <v>41.6</v>
      </c>
      <c r="G38">
        <v>5.5</v>
      </c>
      <c r="H38" t="s">
        <v>18</v>
      </c>
      <c r="I38" s="4">
        <v>54965048</v>
      </c>
      <c r="K38" t="s">
        <v>19</v>
      </c>
      <c r="L38" t="s">
        <v>20</v>
      </c>
      <c r="M38" s="1">
        <v>0.52600000000000002</v>
      </c>
      <c r="N38" s="2">
        <v>9.0399999999999991</v>
      </c>
      <c r="O38" t="b">
        <v>0</v>
      </c>
    </row>
    <row r="39" spans="1:22" x14ac:dyDescent="0.45">
      <c r="A39" t="s">
        <v>37</v>
      </c>
      <c r="B39" t="s">
        <v>76</v>
      </c>
      <c r="C39" t="s">
        <v>47</v>
      </c>
      <c r="E39" t="e">
        <v>#N/A</v>
      </c>
      <c r="F39" s="2">
        <v>122</v>
      </c>
      <c r="G39">
        <v>5.5</v>
      </c>
      <c r="H39" t="s">
        <v>18</v>
      </c>
      <c r="I39" s="4">
        <v>130837568</v>
      </c>
      <c r="K39" t="s">
        <v>19</v>
      </c>
      <c r="L39" t="s">
        <v>20</v>
      </c>
      <c r="M39" s="1">
        <v>0.63919999999999999</v>
      </c>
      <c r="N39" s="2">
        <v>26.5</v>
      </c>
      <c r="O39" t="b">
        <v>0</v>
      </c>
    </row>
    <row r="40" spans="1:22" x14ac:dyDescent="0.45">
      <c r="A40" t="s">
        <v>37</v>
      </c>
      <c r="B40" t="s">
        <v>77</v>
      </c>
      <c r="C40" t="s">
        <v>47</v>
      </c>
      <c r="E40" t="e">
        <v>#N/A</v>
      </c>
      <c r="F40" s="2">
        <v>40.5</v>
      </c>
      <c r="G40">
        <v>5.5</v>
      </c>
      <c r="H40" t="s">
        <v>18</v>
      </c>
      <c r="I40" s="4">
        <v>43202644</v>
      </c>
      <c r="K40" t="s">
        <v>19</v>
      </c>
      <c r="L40" t="s">
        <v>20</v>
      </c>
      <c r="M40" s="1">
        <v>0.45040000000000002</v>
      </c>
      <c r="N40" s="2">
        <v>8.8000000000000007</v>
      </c>
      <c r="O40" t="b">
        <v>0</v>
      </c>
    </row>
    <row r="41" spans="1:22" x14ac:dyDescent="0.45">
      <c r="A41" t="s">
        <v>37</v>
      </c>
      <c r="B41" t="s">
        <v>78</v>
      </c>
      <c r="C41" t="s">
        <v>47</v>
      </c>
      <c r="E41" t="e">
        <v>#N/A</v>
      </c>
      <c r="F41" s="2">
        <v>5.4300000000000001E-2</v>
      </c>
      <c r="G41">
        <v>10.1</v>
      </c>
      <c r="H41" t="s">
        <v>18</v>
      </c>
      <c r="I41">
        <v>22597</v>
      </c>
      <c r="K41" t="s">
        <v>19</v>
      </c>
      <c r="L41" t="s">
        <v>20</v>
      </c>
      <c r="M41" s="1">
        <v>4.4000000000000003E-3</v>
      </c>
      <c r="N41" s="2">
        <v>4.3800000000000002E-3</v>
      </c>
      <c r="O41" t="b">
        <v>0</v>
      </c>
    </row>
    <row r="42" spans="1:22" x14ac:dyDescent="0.45">
      <c r="A42" t="s">
        <v>37</v>
      </c>
      <c r="B42" t="s">
        <v>79</v>
      </c>
      <c r="C42" t="s">
        <v>47</v>
      </c>
      <c r="E42" t="e">
        <v>#N/A</v>
      </c>
      <c r="F42" s="2">
        <v>4.2999999999999997E-2</v>
      </c>
      <c r="G42">
        <v>10.1</v>
      </c>
      <c r="H42" t="s">
        <v>18</v>
      </c>
      <c r="I42">
        <v>9377</v>
      </c>
      <c r="K42" t="s">
        <v>19</v>
      </c>
      <c r="L42" t="s">
        <v>20</v>
      </c>
      <c r="M42" s="1">
        <v>1.9E-3</v>
      </c>
      <c r="N42" s="2">
        <v>1.92E-3</v>
      </c>
      <c r="O42" t="b">
        <v>0</v>
      </c>
    </row>
    <row r="43" spans="1:22" x14ac:dyDescent="0.45">
      <c r="A43" t="s">
        <v>37</v>
      </c>
      <c r="B43" t="s">
        <v>80</v>
      </c>
      <c r="C43" t="s">
        <v>47</v>
      </c>
      <c r="E43" t="e">
        <v>#N/A</v>
      </c>
      <c r="F43" s="2">
        <v>7.8600000000000003E-2</v>
      </c>
      <c r="G43">
        <v>10.1</v>
      </c>
      <c r="H43" t="s">
        <v>18</v>
      </c>
      <c r="I43">
        <v>54411</v>
      </c>
      <c r="K43" t="s">
        <v>19</v>
      </c>
      <c r="L43" t="s">
        <v>20</v>
      </c>
      <c r="M43" s="1">
        <v>9.7000000000000003E-3</v>
      </c>
      <c r="N43" s="2">
        <v>9.6500000000000006E-3</v>
      </c>
      <c r="O43" t="b">
        <v>0</v>
      </c>
    </row>
    <row r="44" spans="1:22" x14ac:dyDescent="0.45">
      <c r="A44" t="s">
        <v>37</v>
      </c>
      <c r="B44" t="s">
        <v>81</v>
      </c>
      <c r="C44" t="s">
        <v>47</v>
      </c>
      <c r="E44" t="e">
        <v>#N/A</v>
      </c>
      <c r="F44" s="2">
        <v>8.1799999999999998E-2</v>
      </c>
      <c r="G44">
        <v>10.06</v>
      </c>
      <c r="H44" t="s">
        <v>18</v>
      </c>
      <c r="I44">
        <v>50219</v>
      </c>
      <c r="K44" t="s">
        <v>19</v>
      </c>
      <c r="L44" t="s">
        <v>20</v>
      </c>
      <c r="M44" s="1">
        <v>1.04E-2</v>
      </c>
      <c r="N44" s="2">
        <v>1.04E-2</v>
      </c>
      <c r="O44" t="b">
        <v>0</v>
      </c>
    </row>
    <row r="45" spans="1:22" x14ac:dyDescent="0.45">
      <c r="A45" t="s">
        <v>37</v>
      </c>
      <c r="B45" t="s">
        <v>82</v>
      </c>
      <c r="C45" t="s">
        <v>47</v>
      </c>
      <c r="E45" t="e">
        <v>#N/A</v>
      </c>
      <c r="F45" s="2">
        <v>4.5499999999999999E-2</v>
      </c>
      <c r="G45">
        <v>10.06</v>
      </c>
      <c r="H45" t="s">
        <v>18</v>
      </c>
      <c r="I45">
        <v>12196</v>
      </c>
      <c r="K45" t="s">
        <v>19</v>
      </c>
      <c r="L45" t="s">
        <v>20</v>
      </c>
      <c r="M45" s="1">
        <v>2.5000000000000001E-3</v>
      </c>
      <c r="N45" s="2">
        <v>2.48E-3</v>
      </c>
      <c r="O45" t="b">
        <v>0</v>
      </c>
    </row>
    <row r="46" spans="1:22" x14ac:dyDescent="0.45">
      <c r="A46" t="s">
        <v>37</v>
      </c>
      <c r="B46" t="s">
        <v>83</v>
      </c>
      <c r="C46" t="s">
        <v>47</v>
      </c>
      <c r="E46" t="e">
        <v>#N/A</v>
      </c>
      <c r="F46" s="2">
        <v>3.7100000000000001E-2</v>
      </c>
      <c r="G46">
        <v>5.99</v>
      </c>
      <c r="H46" t="s">
        <v>18</v>
      </c>
      <c r="I46">
        <v>2506</v>
      </c>
      <c r="K46" t="s">
        <v>19</v>
      </c>
      <c r="L46" t="s">
        <v>20</v>
      </c>
      <c r="M46" s="1">
        <v>5.9999999999999995E-4</v>
      </c>
      <c r="N46" s="2">
        <v>6.4800000000000003E-4</v>
      </c>
      <c r="O46" t="b">
        <v>0</v>
      </c>
    </row>
    <row r="47" spans="1:22" x14ac:dyDescent="0.45">
      <c r="A47" t="s">
        <v>37</v>
      </c>
      <c r="B47" t="s">
        <v>84</v>
      </c>
      <c r="C47" t="s">
        <v>47</v>
      </c>
      <c r="E47" t="e">
        <v>#N/A</v>
      </c>
      <c r="F47">
        <v>0</v>
      </c>
      <c r="G47">
        <v>14.05</v>
      </c>
      <c r="H47" t="s">
        <v>18</v>
      </c>
      <c r="I47">
        <v>3049</v>
      </c>
      <c r="K47" t="s">
        <v>19</v>
      </c>
      <c r="L47" t="s">
        <v>20</v>
      </c>
      <c r="M47" t="s">
        <v>85</v>
      </c>
      <c r="N47">
        <v>0</v>
      </c>
      <c r="O47" t="b">
        <v>0</v>
      </c>
    </row>
    <row r="48" spans="1:22" x14ac:dyDescent="0.45">
      <c r="A48" t="s">
        <v>37</v>
      </c>
      <c r="B48" t="s">
        <v>86</v>
      </c>
      <c r="C48" t="s">
        <v>47</v>
      </c>
      <c r="E48" t="e">
        <v>#N/A</v>
      </c>
      <c r="F48">
        <v>0</v>
      </c>
      <c r="G48">
        <v>0.37</v>
      </c>
      <c r="H48" t="s">
        <v>18</v>
      </c>
      <c r="I48">
        <v>135636</v>
      </c>
      <c r="K48" t="s">
        <v>19</v>
      </c>
      <c r="L48" t="s">
        <v>20</v>
      </c>
      <c r="M48" t="s">
        <v>85</v>
      </c>
      <c r="N48">
        <v>0</v>
      </c>
      <c r="O48" t="b">
        <v>0</v>
      </c>
    </row>
    <row r="49" spans="1:22" x14ac:dyDescent="0.45">
      <c r="A49" t="s">
        <v>37</v>
      </c>
      <c r="B49" t="s">
        <v>87</v>
      </c>
      <c r="C49" t="s">
        <v>47</v>
      </c>
      <c r="E49" t="e">
        <v>#N/A</v>
      </c>
      <c r="F49">
        <v>0</v>
      </c>
      <c r="G49">
        <v>10.1</v>
      </c>
      <c r="H49" t="s">
        <v>18</v>
      </c>
      <c r="I49">
        <v>9098</v>
      </c>
      <c r="K49" t="s">
        <v>19</v>
      </c>
      <c r="L49" t="s">
        <v>20</v>
      </c>
      <c r="M49" t="s">
        <v>85</v>
      </c>
      <c r="N49">
        <v>0</v>
      </c>
      <c r="O49" t="b">
        <v>0</v>
      </c>
    </row>
    <row r="50" spans="1:22" x14ac:dyDescent="0.45">
      <c r="A50" t="s">
        <v>15</v>
      </c>
      <c r="B50" t="s">
        <v>16</v>
      </c>
      <c r="C50" t="s">
        <v>17</v>
      </c>
      <c r="D50">
        <v>0.1</v>
      </c>
      <c r="E50" s="1">
        <v>-7.9539999999999997</v>
      </c>
      <c r="F50" s="2">
        <v>-0.79500000000000004</v>
      </c>
      <c r="G50">
        <v>6.4</v>
      </c>
      <c r="H50" t="s">
        <v>88</v>
      </c>
      <c r="I50">
        <v>12308</v>
      </c>
      <c r="K50" t="s">
        <v>19</v>
      </c>
      <c r="L50" t="s">
        <v>89</v>
      </c>
      <c r="M50" s="1">
        <v>3.0000000000000001E-3</v>
      </c>
      <c r="N50" s="2">
        <v>3.0100000000000001E-3</v>
      </c>
      <c r="O50" t="b">
        <v>1</v>
      </c>
    </row>
    <row r="51" spans="1:22" x14ac:dyDescent="0.45">
      <c r="A51" t="s">
        <v>21</v>
      </c>
      <c r="B51" t="s">
        <v>22</v>
      </c>
      <c r="C51" t="s">
        <v>17</v>
      </c>
      <c r="D51">
        <v>0.49</v>
      </c>
      <c r="E51" s="1">
        <v>-1.0289999999999999</v>
      </c>
      <c r="F51" s="2">
        <v>-0.504</v>
      </c>
      <c r="G51">
        <v>6.4</v>
      </c>
      <c r="H51" t="s">
        <v>88</v>
      </c>
      <c r="I51">
        <v>35477</v>
      </c>
      <c r="K51" t="s">
        <v>19</v>
      </c>
      <c r="L51" t="s">
        <v>89</v>
      </c>
      <c r="M51" s="1">
        <v>7.7999999999999996E-3</v>
      </c>
      <c r="N51" s="2">
        <v>9.3299999999999998E-3</v>
      </c>
      <c r="O51" t="b">
        <v>1</v>
      </c>
    </row>
    <row r="52" spans="1:22" x14ac:dyDescent="0.45">
      <c r="A52" t="s">
        <v>23</v>
      </c>
      <c r="B52" t="s">
        <v>24</v>
      </c>
      <c r="C52" t="s">
        <v>17</v>
      </c>
      <c r="D52">
        <v>0.96</v>
      </c>
      <c r="E52" s="1">
        <v>0.83499999999999996</v>
      </c>
      <c r="F52" s="2">
        <v>0.80200000000000005</v>
      </c>
      <c r="G52">
        <v>6.4</v>
      </c>
      <c r="H52" t="s">
        <v>88</v>
      </c>
      <c r="I52">
        <v>151184</v>
      </c>
      <c r="K52" t="s">
        <v>19</v>
      </c>
      <c r="L52" t="s">
        <v>89</v>
      </c>
      <c r="M52" s="1">
        <v>2.6599999999999999E-2</v>
      </c>
      <c r="N52" s="2">
        <v>3.7600000000000001E-2</v>
      </c>
      <c r="O52" t="b">
        <v>0</v>
      </c>
      <c r="U52">
        <v>3.7600000000000001E-2</v>
      </c>
    </row>
    <row r="53" spans="1:22" x14ac:dyDescent="0.45">
      <c r="A53" t="s">
        <v>25</v>
      </c>
      <c r="B53" t="s">
        <v>26</v>
      </c>
      <c r="C53" t="s">
        <v>17</v>
      </c>
      <c r="D53">
        <v>2.4500000000000002</v>
      </c>
      <c r="E53" s="1">
        <v>0.85799999999999998</v>
      </c>
      <c r="F53" s="2">
        <v>2.1</v>
      </c>
      <c r="G53">
        <v>6.4</v>
      </c>
      <c r="H53" t="s">
        <v>88</v>
      </c>
      <c r="I53">
        <v>311973</v>
      </c>
      <c r="K53" t="s">
        <v>19</v>
      </c>
      <c r="L53" t="s">
        <v>89</v>
      </c>
      <c r="M53" s="1">
        <v>3.6999999999999998E-2</v>
      </c>
      <c r="N53" s="2">
        <v>6.5799999999999997E-2</v>
      </c>
      <c r="O53" t="b">
        <v>0</v>
      </c>
    </row>
    <row r="54" spans="1:22" x14ac:dyDescent="0.45">
      <c r="A54" t="s">
        <v>27</v>
      </c>
      <c r="B54" t="s">
        <v>28</v>
      </c>
      <c r="C54" t="s">
        <v>17</v>
      </c>
      <c r="D54">
        <v>4.83</v>
      </c>
      <c r="E54" s="1">
        <v>1.3759999999999999</v>
      </c>
      <c r="F54" s="2">
        <v>6.65</v>
      </c>
      <c r="G54">
        <v>6.36</v>
      </c>
      <c r="H54" t="s">
        <v>88</v>
      </c>
      <c r="I54">
        <v>687168</v>
      </c>
      <c r="K54" t="s">
        <v>19</v>
      </c>
      <c r="L54" t="s">
        <v>89</v>
      </c>
      <c r="M54" s="1">
        <v>5.1200000000000002E-2</v>
      </c>
      <c r="N54" s="2">
        <v>0.16400000000000001</v>
      </c>
      <c r="O54" t="b">
        <v>0</v>
      </c>
    </row>
    <row r="55" spans="1:22" x14ac:dyDescent="0.45">
      <c r="A55" t="s">
        <v>29</v>
      </c>
      <c r="B55" t="s">
        <v>30</v>
      </c>
      <c r="C55" t="s">
        <v>17</v>
      </c>
      <c r="D55">
        <v>9.74</v>
      </c>
      <c r="E55" s="1">
        <v>0.97499999999999998</v>
      </c>
      <c r="F55" s="2">
        <v>9.5</v>
      </c>
      <c r="G55">
        <v>6.36</v>
      </c>
      <c r="H55" t="s">
        <v>88</v>
      </c>
      <c r="I55">
        <v>1041805</v>
      </c>
      <c r="K55" t="s">
        <v>19</v>
      </c>
      <c r="L55" t="s">
        <v>89</v>
      </c>
      <c r="M55" s="1">
        <v>4.6800000000000001E-2</v>
      </c>
      <c r="N55" s="2">
        <v>0.22600000000000001</v>
      </c>
      <c r="O55" t="b">
        <v>0</v>
      </c>
    </row>
    <row r="56" spans="1:22" x14ac:dyDescent="0.45">
      <c r="A56" t="s">
        <v>31</v>
      </c>
      <c r="B56" t="s">
        <v>32</v>
      </c>
      <c r="C56" t="s">
        <v>17</v>
      </c>
      <c r="D56">
        <v>24.27</v>
      </c>
      <c r="E56" s="1">
        <v>0.95599999999999996</v>
      </c>
      <c r="F56" s="2">
        <v>23.2</v>
      </c>
      <c r="G56">
        <v>6.4</v>
      </c>
      <c r="H56" t="s">
        <v>88</v>
      </c>
      <c r="I56">
        <v>2127105</v>
      </c>
      <c r="K56" t="s">
        <v>19</v>
      </c>
      <c r="L56" t="s">
        <v>89</v>
      </c>
      <c r="M56" s="1">
        <v>4.19E-2</v>
      </c>
      <c r="N56" s="2">
        <v>0.52300000000000002</v>
      </c>
      <c r="O56" t="b">
        <v>0</v>
      </c>
      <c r="U56">
        <v>0.52300000000000002</v>
      </c>
    </row>
    <row r="57" spans="1:22" x14ac:dyDescent="0.45">
      <c r="A57" t="s">
        <v>33</v>
      </c>
      <c r="B57" t="s">
        <v>34</v>
      </c>
      <c r="C57" t="s">
        <v>17</v>
      </c>
      <c r="D57">
        <v>49</v>
      </c>
      <c r="E57" s="1">
        <v>0.41599999999999998</v>
      </c>
      <c r="F57" s="2">
        <v>20.399999999999999</v>
      </c>
      <c r="G57">
        <v>6.36</v>
      </c>
      <c r="H57" t="s">
        <v>88</v>
      </c>
      <c r="I57">
        <v>1947544</v>
      </c>
      <c r="K57" t="s">
        <v>19</v>
      </c>
      <c r="L57" t="s">
        <v>89</v>
      </c>
      <c r="M57" s="1">
        <v>2.29E-2</v>
      </c>
      <c r="N57" s="2">
        <v>0.46300000000000002</v>
      </c>
      <c r="O57" t="b">
        <v>1</v>
      </c>
    </row>
    <row r="58" spans="1:22" x14ac:dyDescent="0.45">
      <c r="A58" t="s">
        <v>35</v>
      </c>
      <c r="B58" t="s">
        <v>36</v>
      </c>
      <c r="C58" t="s">
        <v>17</v>
      </c>
      <c r="D58">
        <v>101</v>
      </c>
      <c r="E58" s="1">
        <v>1.1259999999999999</v>
      </c>
      <c r="F58" s="2">
        <v>114</v>
      </c>
      <c r="G58">
        <v>6.4</v>
      </c>
      <c r="H58" t="s">
        <v>88</v>
      </c>
      <c r="I58">
        <v>11058557</v>
      </c>
      <c r="K58" t="s">
        <v>19</v>
      </c>
      <c r="L58" t="s">
        <v>89</v>
      </c>
      <c r="M58" s="1">
        <v>5.67E-2</v>
      </c>
      <c r="N58" s="2">
        <v>2.4900000000000002</v>
      </c>
      <c r="O58" t="b">
        <v>1</v>
      </c>
    </row>
    <row r="59" spans="1:22" x14ac:dyDescent="0.45">
      <c r="A59" t="s">
        <v>37</v>
      </c>
      <c r="B59" t="s">
        <v>38</v>
      </c>
      <c r="C59" t="s">
        <v>17</v>
      </c>
      <c r="D59">
        <v>249.5</v>
      </c>
      <c r="E59" s="1">
        <v>1.4550000000000001</v>
      </c>
      <c r="F59" s="2">
        <v>363</v>
      </c>
      <c r="G59">
        <v>6.4</v>
      </c>
      <c r="H59" t="s">
        <v>88</v>
      </c>
      <c r="I59">
        <v>35487228</v>
      </c>
      <c r="K59" t="s">
        <v>19</v>
      </c>
      <c r="L59" t="s">
        <v>89</v>
      </c>
      <c r="M59" s="1">
        <v>0.16200000000000001</v>
      </c>
      <c r="N59" s="2">
        <v>7.89</v>
      </c>
      <c r="O59" t="b">
        <v>1</v>
      </c>
    </row>
    <row r="60" spans="1:22" x14ac:dyDescent="0.45">
      <c r="A60" t="s">
        <v>37</v>
      </c>
      <c r="B60" t="s">
        <v>39</v>
      </c>
      <c r="C60" t="s">
        <v>17</v>
      </c>
      <c r="D60">
        <v>501.9</v>
      </c>
      <c r="E60" s="1">
        <v>7.8570000000000002</v>
      </c>
      <c r="F60" s="2">
        <v>3940</v>
      </c>
      <c r="G60">
        <v>6.4</v>
      </c>
      <c r="H60" t="s">
        <v>88</v>
      </c>
      <c r="I60">
        <v>333548992</v>
      </c>
      <c r="K60" t="s">
        <v>19</v>
      </c>
      <c r="L60" t="s">
        <v>89</v>
      </c>
      <c r="M60" s="1">
        <v>0.22500000000000001</v>
      </c>
      <c r="N60" s="2">
        <v>85.5</v>
      </c>
      <c r="O60" t="b">
        <v>1</v>
      </c>
    </row>
    <row r="61" spans="1:22" x14ac:dyDescent="0.45">
      <c r="A61" t="s">
        <v>40</v>
      </c>
      <c r="B61" t="s">
        <v>41</v>
      </c>
      <c r="C61" t="s">
        <v>42</v>
      </c>
      <c r="E61" t="e">
        <v>#N/A</v>
      </c>
      <c r="F61">
        <v>0</v>
      </c>
      <c r="G61" t="e">
        <v>#N/A</v>
      </c>
      <c r="H61" t="s">
        <v>88</v>
      </c>
      <c r="I61">
        <v>0</v>
      </c>
      <c r="K61" t="s">
        <v>19</v>
      </c>
      <c r="L61" t="s">
        <v>89</v>
      </c>
      <c r="M61" t="e">
        <v>#N/A</v>
      </c>
      <c r="N61">
        <v>0</v>
      </c>
      <c r="O61" t="b">
        <v>0</v>
      </c>
      <c r="P61" t="s">
        <v>141</v>
      </c>
      <c r="Q61">
        <v>1.8</v>
      </c>
      <c r="U61" s="9">
        <f>Q61*$AA$22/1000</f>
        <v>3.078E-4</v>
      </c>
      <c r="V61" s="2">
        <f>U61*1000</f>
        <v>0.30780000000000002</v>
      </c>
    </row>
    <row r="62" spans="1:22" x14ac:dyDescent="0.45">
      <c r="A62" t="s">
        <v>40</v>
      </c>
      <c r="B62" t="s">
        <v>43</v>
      </c>
      <c r="C62" t="s">
        <v>42</v>
      </c>
      <c r="E62" t="e">
        <v>#N/A</v>
      </c>
      <c r="F62">
        <v>0</v>
      </c>
      <c r="G62" t="e">
        <v>#N/A</v>
      </c>
      <c r="H62" t="s">
        <v>88</v>
      </c>
      <c r="I62">
        <v>0</v>
      </c>
      <c r="K62" t="s">
        <v>19</v>
      </c>
      <c r="L62" t="s">
        <v>89</v>
      </c>
      <c r="M62" t="e">
        <v>#N/A</v>
      </c>
      <c r="N62">
        <v>0</v>
      </c>
      <c r="O62" t="b">
        <v>0</v>
      </c>
    </row>
    <row r="63" spans="1:22" ht="15.75" customHeight="1" x14ac:dyDescent="0.45">
      <c r="A63" t="s">
        <v>40</v>
      </c>
      <c r="B63" t="s">
        <v>44</v>
      </c>
      <c r="C63" t="s">
        <v>42</v>
      </c>
      <c r="E63" t="e">
        <v>#N/A</v>
      </c>
      <c r="F63">
        <v>0</v>
      </c>
      <c r="G63" t="e">
        <v>#N/A</v>
      </c>
      <c r="H63" t="s">
        <v>88</v>
      </c>
      <c r="I63">
        <v>0</v>
      </c>
      <c r="K63" t="s">
        <v>19</v>
      </c>
      <c r="L63" t="s">
        <v>89</v>
      </c>
      <c r="M63" t="e">
        <v>#N/A</v>
      </c>
      <c r="N63">
        <v>0</v>
      </c>
      <c r="O63" t="b">
        <v>0</v>
      </c>
    </row>
    <row r="64" spans="1:22" x14ac:dyDescent="0.45">
      <c r="A64" t="s">
        <v>45</v>
      </c>
      <c r="B64" t="s">
        <v>46</v>
      </c>
      <c r="C64" t="s">
        <v>47</v>
      </c>
      <c r="E64" t="e">
        <v>#N/A</v>
      </c>
      <c r="F64" s="2">
        <v>-0.85099999999999998</v>
      </c>
      <c r="G64">
        <v>6.4</v>
      </c>
      <c r="H64" t="s">
        <v>88</v>
      </c>
      <c r="I64">
        <v>12497</v>
      </c>
      <c r="K64" t="s">
        <v>19</v>
      </c>
      <c r="L64" t="s">
        <v>89</v>
      </c>
      <c r="M64" s="1">
        <v>1.8E-3</v>
      </c>
      <c r="N64" s="2">
        <v>1.81E-3</v>
      </c>
      <c r="O64" t="b">
        <v>0</v>
      </c>
      <c r="P64" t="s">
        <v>138</v>
      </c>
      <c r="S64" t="s">
        <v>137</v>
      </c>
      <c r="U64" s="9">
        <f>F64*$AA$17/1000</f>
        <v>-1.3766324241350808E-4</v>
      </c>
      <c r="V64" s="9">
        <f t="shared" ref="V64:V66" si="2">U64*1000</f>
        <v>-0.13766324241350808</v>
      </c>
    </row>
    <row r="65" spans="1:22" x14ac:dyDescent="0.45">
      <c r="A65" t="s">
        <v>45</v>
      </c>
      <c r="B65" t="s">
        <v>48</v>
      </c>
      <c r="C65" t="s">
        <v>47</v>
      </c>
      <c r="E65" t="e">
        <v>#N/A</v>
      </c>
      <c r="F65">
        <v>0</v>
      </c>
      <c r="G65" t="e">
        <v>#N/A</v>
      </c>
      <c r="H65" t="s">
        <v>88</v>
      </c>
      <c r="I65">
        <v>0</v>
      </c>
      <c r="K65" t="s">
        <v>19</v>
      </c>
      <c r="L65" t="s">
        <v>89</v>
      </c>
      <c r="M65" t="e">
        <v>#N/A</v>
      </c>
      <c r="N65">
        <v>0</v>
      </c>
      <c r="O65" t="b">
        <v>0</v>
      </c>
      <c r="P65" t="s">
        <v>138</v>
      </c>
      <c r="S65" t="s">
        <v>137</v>
      </c>
      <c r="U65" s="9">
        <f>F65*$AA$18/1000</f>
        <v>0</v>
      </c>
      <c r="V65" s="9">
        <f t="shared" si="2"/>
        <v>0</v>
      </c>
    </row>
    <row r="66" spans="1:22" x14ac:dyDescent="0.45">
      <c r="A66" t="s">
        <v>45</v>
      </c>
      <c r="B66" t="s">
        <v>49</v>
      </c>
      <c r="C66" t="s">
        <v>47</v>
      </c>
      <c r="E66" t="e">
        <v>#N/A</v>
      </c>
      <c r="F66" s="2">
        <v>-0.80900000000000005</v>
      </c>
      <c r="G66">
        <v>1.07</v>
      </c>
      <c r="H66" t="s">
        <v>88</v>
      </c>
      <c r="I66">
        <v>20160</v>
      </c>
      <c r="K66" t="s">
        <v>19</v>
      </c>
      <c r="L66" t="s">
        <v>89</v>
      </c>
      <c r="M66" s="1">
        <v>2.7000000000000001E-3</v>
      </c>
      <c r="N66" s="2">
        <v>2.7200000000000002E-3</v>
      </c>
      <c r="O66" t="b">
        <v>0</v>
      </c>
      <c r="P66" t="s">
        <v>138</v>
      </c>
      <c r="S66" t="s">
        <v>137</v>
      </c>
      <c r="U66" s="9">
        <f>F66*$AA$19/1000</f>
        <v>-1.4424253158578347E-4</v>
      </c>
      <c r="V66" s="9">
        <f t="shared" si="2"/>
        <v>-0.14424253158578346</v>
      </c>
    </row>
    <row r="67" spans="1:22" x14ac:dyDescent="0.45">
      <c r="A67" t="s">
        <v>50</v>
      </c>
      <c r="B67" t="s">
        <v>51</v>
      </c>
      <c r="C67" t="s">
        <v>47</v>
      </c>
      <c r="E67" t="e">
        <v>#N/A</v>
      </c>
      <c r="F67" s="2">
        <v>2.8500000000000001E-3</v>
      </c>
      <c r="G67">
        <v>6.4</v>
      </c>
      <c r="H67" t="s">
        <v>88</v>
      </c>
      <c r="I67">
        <v>69260</v>
      </c>
      <c r="K67" t="s">
        <v>19</v>
      </c>
      <c r="L67" t="s">
        <v>89</v>
      </c>
      <c r="M67" s="1">
        <v>2.0299999999999999E-2</v>
      </c>
      <c r="N67" s="2">
        <v>2.0299999999999999E-2</v>
      </c>
      <c r="O67" t="b">
        <v>0</v>
      </c>
      <c r="P67" t="s">
        <v>138</v>
      </c>
      <c r="S67" t="s">
        <v>137</v>
      </c>
      <c r="U67" s="9">
        <f>F67*$AA$11/1000</f>
        <v>5.0141693234148068E-7</v>
      </c>
      <c r="V67" s="9">
        <f>U67*1000</f>
        <v>5.0141693234148068E-4</v>
      </c>
    </row>
    <row r="68" spans="1:22" x14ac:dyDescent="0.45">
      <c r="A68" t="s">
        <v>50</v>
      </c>
      <c r="B68" t="s">
        <v>52</v>
      </c>
      <c r="C68" t="s">
        <v>47</v>
      </c>
      <c r="E68" t="e">
        <v>#N/A</v>
      </c>
      <c r="F68">
        <v>0</v>
      </c>
      <c r="G68" t="e">
        <v>#N/A</v>
      </c>
      <c r="H68" t="s">
        <v>88</v>
      </c>
      <c r="I68">
        <v>0</v>
      </c>
      <c r="K68" t="s">
        <v>19</v>
      </c>
      <c r="L68" t="s">
        <v>89</v>
      </c>
      <c r="M68" t="e">
        <v>#N/A</v>
      </c>
      <c r="N68">
        <v>0</v>
      </c>
      <c r="O68" t="b">
        <v>0</v>
      </c>
      <c r="P68" t="s">
        <v>138</v>
      </c>
      <c r="S68" t="s">
        <v>137</v>
      </c>
      <c r="U68" s="9">
        <f>F68*$AA$12/1000</f>
        <v>0</v>
      </c>
      <c r="V68" s="9">
        <f t="shared" ref="V68:V85" si="3">U68*1000</f>
        <v>0</v>
      </c>
    </row>
    <row r="69" spans="1:22" x14ac:dyDescent="0.45">
      <c r="A69" t="s">
        <v>50</v>
      </c>
      <c r="B69" t="s">
        <v>53</v>
      </c>
      <c r="C69" t="s">
        <v>47</v>
      </c>
      <c r="E69" t="e">
        <v>#N/A</v>
      </c>
      <c r="F69" s="2">
        <v>-0.37</v>
      </c>
      <c r="G69">
        <v>6.4</v>
      </c>
      <c r="H69" t="s">
        <v>88</v>
      </c>
      <c r="I69">
        <v>45844</v>
      </c>
      <c r="K69" t="s">
        <v>19</v>
      </c>
      <c r="L69" t="s">
        <v>89</v>
      </c>
      <c r="M69" s="1">
        <v>1.2200000000000001E-2</v>
      </c>
      <c r="N69" s="2">
        <v>1.2200000000000001E-2</v>
      </c>
      <c r="O69" t="b">
        <v>0</v>
      </c>
      <c r="P69" t="s">
        <v>138</v>
      </c>
      <c r="S69" t="s">
        <v>137</v>
      </c>
      <c r="U69" s="9">
        <f>F69*$AA$13/1000</f>
        <v>-6.1426378557090573E-5</v>
      </c>
      <c r="V69" s="9">
        <f t="shared" si="3"/>
        <v>-6.1426378557090572E-2</v>
      </c>
    </row>
    <row r="70" spans="1:22" x14ac:dyDescent="0.45">
      <c r="A70" t="s">
        <v>50</v>
      </c>
      <c r="B70" t="s">
        <v>54</v>
      </c>
      <c r="C70" t="s">
        <v>47</v>
      </c>
      <c r="E70" t="e">
        <v>#N/A</v>
      </c>
      <c r="F70" s="2">
        <v>-0.89300000000000002</v>
      </c>
      <c r="G70">
        <v>6.45</v>
      </c>
      <c r="H70" t="s">
        <v>88</v>
      </c>
      <c r="I70">
        <v>2975</v>
      </c>
      <c r="K70" t="s">
        <v>19</v>
      </c>
      <c r="L70" t="s">
        <v>89</v>
      </c>
      <c r="M70" s="1">
        <v>8.0000000000000004E-4</v>
      </c>
      <c r="N70" s="2">
        <v>8.9999999999999998E-4</v>
      </c>
      <c r="O70" t="b">
        <v>0</v>
      </c>
      <c r="P70" t="s">
        <v>138</v>
      </c>
      <c r="S70" t="s">
        <v>137</v>
      </c>
      <c r="U70" s="9">
        <f>F70*$AA$14/1000</f>
        <v>-1.5827051599952771E-4</v>
      </c>
      <c r="V70" s="9">
        <f>U70*1000</f>
        <v>-0.15827051599952771</v>
      </c>
    </row>
    <row r="71" spans="1:22" x14ac:dyDescent="0.45">
      <c r="A71" t="s">
        <v>50</v>
      </c>
      <c r="B71" t="s">
        <v>55</v>
      </c>
      <c r="C71" t="s">
        <v>47</v>
      </c>
      <c r="E71" t="e">
        <v>#N/A</v>
      </c>
      <c r="F71" s="2">
        <v>1.58</v>
      </c>
      <c r="G71">
        <v>6.49</v>
      </c>
      <c r="H71" t="s">
        <v>88</v>
      </c>
      <c r="I71">
        <v>212494</v>
      </c>
      <c r="K71" t="s">
        <v>19</v>
      </c>
      <c r="L71" t="s">
        <v>89</v>
      </c>
      <c r="M71" s="1">
        <v>4.9000000000000002E-2</v>
      </c>
      <c r="N71" s="2">
        <v>5.4399999999999997E-2</v>
      </c>
      <c r="O71" t="b">
        <v>0</v>
      </c>
      <c r="S71" t="s">
        <v>137</v>
      </c>
      <c r="U71" s="9">
        <f>F71*$AA$15/1000</f>
        <v>2.7051599952768922E-4</v>
      </c>
      <c r="V71" s="9">
        <f t="shared" si="3"/>
        <v>0.27051599952768923</v>
      </c>
    </row>
    <row r="72" spans="1:22" x14ac:dyDescent="0.45">
      <c r="A72" t="s">
        <v>50</v>
      </c>
      <c r="B72" t="s">
        <v>56</v>
      </c>
      <c r="C72" t="s">
        <v>47</v>
      </c>
      <c r="E72" t="e">
        <v>#N/A</v>
      </c>
      <c r="F72" s="2">
        <v>-0.71499999999999997</v>
      </c>
      <c r="G72">
        <v>6.45</v>
      </c>
      <c r="H72" t="s">
        <v>88</v>
      </c>
      <c r="I72">
        <v>14367</v>
      </c>
      <c r="K72" t="s">
        <v>19</v>
      </c>
      <c r="L72" t="s">
        <v>89</v>
      </c>
      <c r="M72" s="1">
        <v>4.1000000000000003E-3</v>
      </c>
      <c r="N72" s="2">
        <v>4.7600000000000003E-3</v>
      </c>
      <c r="O72" t="b">
        <v>0</v>
      </c>
      <c r="P72" t="s">
        <v>138</v>
      </c>
      <c r="S72" t="s">
        <v>137</v>
      </c>
      <c r="U72" s="9">
        <f>F72*$AA$16/1000</f>
        <v>-1.274825835399693E-4</v>
      </c>
      <c r="V72" s="9">
        <f t="shared" si="3"/>
        <v>-0.1274825835399693</v>
      </c>
    </row>
    <row r="73" spans="1:22" x14ac:dyDescent="0.45">
      <c r="A73" t="s">
        <v>57</v>
      </c>
      <c r="B73" t="s">
        <v>58</v>
      </c>
      <c r="C73" t="s">
        <v>47</v>
      </c>
      <c r="E73" t="e">
        <v>#N/A</v>
      </c>
      <c r="F73" s="2">
        <v>20.8</v>
      </c>
      <c r="G73">
        <v>6.4</v>
      </c>
      <c r="H73" t="s">
        <v>88</v>
      </c>
      <c r="I73">
        <v>2004982</v>
      </c>
      <c r="K73" t="s">
        <v>19</v>
      </c>
      <c r="L73" t="s">
        <v>89</v>
      </c>
      <c r="M73" s="1">
        <v>0.1338</v>
      </c>
      <c r="N73" s="2">
        <v>0.47099999999999997</v>
      </c>
      <c r="O73" t="b">
        <v>0</v>
      </c>
      <c r="U73" s="2">
        <f>F73*$AA$20/1000</f>
        <v>3.65946392726414E-3</v>
      </c>
      <c r="V73" s="2">
        <f t="shared" si="3"/>
        <v>3.6594639272641398</v>
      </c>
    </row>
    <row r="74" spans="1:22" x14ac:dyDescent="0.45">
      <c r="A74" t="s">
        <v>59</v>
      </c>
      <c r="B74" t="s">
        <v>60</v>
      </c>
      <c r="C74" t="s">
        <v>47</v>
      </c>
      <c r="E74" t="e">
        <v>#N/A</v>
      </c>
      <c r="F74" s="2">
        <v>161</v>
      </c>
      <c r="G74">
        <v>6.4</v>
      </c>
      <c r="H74" t="s">
        <v>88</v>
      </c>
      <c r="I74">
        <v>13139511</v>
      </c>
      <c r="K74" t="s">
        <v>19</v>
      </c>
      <c r="L74" t="s">
        <v>89</v>
      </c>
      <c r="M74" s="1">
        <v>0.12870000000000001</v>
      </c>
      <c r="N74" s="2">
        <v>3.52</v>
      </c>
      <c r="O74" t="b">
        <v>0</v>
      </c>
      <c r="U74" s="2"/>
      <c r="V74" s="2"/>
    </row>
    <row r="75" spans="1:22" x14ac:dyDescent="0.45">
      <c r="A75" t="s">
        <v>61</v>
      </c>
      <c r="B75" t="s">
        <v>62</v>
      </c>
      <c r="C75" t="s">
        <v>47</v>
      </c>
      <c r="E75" t="e">
        <v>#N/A</v>
      </c>
      <c r="F75" s="2">
        <v>2.84</v>
      </c>
      <c r="G75">
        <v>6.4</v>
      </c>
      <c r="H75" t="s">
        <v>88</v>
      </c>
      <c r="I75">
        <v>394217</v>
      </c>
      <c r="K75" t="s">
        <v>19</v>
      </c>
      <c r="L75" t="s">
        <v>89</v>
      </c>
      <c r="M75" s="1">
        <v>2.9700000000000001E-2</v>
      </c>
      <c r="N75" s="2">
        <v>8.1699999999999995E-2</v>
      </c>
      <c r="O75" t="b">
        <v>0</v>
      </c>
      <c r="T75" s="2">
        <f>F75*$AH$2/$AE$2</f>
        <v>31.660740740740735</v>
      </c>
      <c r="U75" s="2">
        <f>T75*$AA$5/1000</f>
        <v>5.1216453908153039E-3</v>
      </c>
      <c r="V75" s="2">
        <f t="shared" si="3"/>
        <v>5.1216453908153037</v>
      </c>
    </row>
    <row r="76" spans="1:22" x14ac:dyDescent="0.45">
      <c r="A76" t="s">
        <v>59</v>
      </c>
      <c r="B76" t="s">
        <v>63</v>
      </c>
      <c r="C76" t="s">
        <v>47</v>
      </c>
      <c r="E76" t="e">
        <v>#N/A</v>
      </c>
      <c r="F76" s="2">
        <v>237</v>
      </c>
      <c r="G76">
        <v>6.45</v>
      </c>
      <c r="H76" t="s">
        <v>88</v>
      </c>
      <c r="I76">
        <v>12751378</v>
      </c>
      <c r="K76" t="s">
        <v>19</v>
      </c>
      <c r="L76" t="s">
        <v>89</v>
      </c>
      <c r="M76" s="1">
        <v>0.1</v>
      </c>
      <c r="N76" s="2">
        <v>5.17</v>
      </c>
      <c r="O76" t="b">
        <v>0</v>
      </c>
      <c r="U76" s="2"/>
      <c r="V76" s="2"/>
    </row>
    <row r="77" spans="1:22" x14ac:dyDescent="0.45">
      <c r="A77" t="s">
        <v>61</v>
      </c>
      <c r="B77" t="s">
        <v>64</v>
      </c>
      <c r="C77" t="s">
        <v>47</v>
      </c>
      <c r="E77" t="e">
        <v>#N/A</v>
      </c>
      <c r="F77" s="2">
        <v>13.9</v>
      </c>
      <c r="G77">
        <v>6.4</v>
      </c>
      <c r="H77" t="s">
        <v>88</v>
      </c>
      <c r="I77">
        <v>1349527</v>
      </c>
      <c r="K77" t="s">
        <v>19</v>
      </c>
      <c r="L77" t="s">
        <v>89</v>
      </c>
      <c r="M77" s="1">
        <v>3.6499999999999998E-2</v>
      </c>
      <c r="N77" s="2">
        <v>0.32100000000000001</v>
      </c>
      <c r="O77" t="b">
        <v>0</v>
      </c>
      <c r="T77" s="2">
        <f>F77*$AH$3/$AE$3</f>
        <v>146.18965517241378</v>
      </c>
      <c r="U77" s="2">
        <f>T77*$AA$6/1000</f>
        <v>2.416643254709875E-2</v>
      </c>
      <c r="V77" s="2">
        <f t="shared" si="3"/>
        <v>24.166432547098751</v>
      </c>
    </row>
    <row r="78" spans="1:22" x14ac:dyDescent="0.45">
      <c r="A78" t="s">
        <v>59</v>
      </c>
      <c r="B78" t="s">
        <v>65</v>
      </c>
      <c r="C78" t="s">
        <v>47</v>
      </c>
      <c r="E78" t="e">
        <v>#N/A</v>
      </c>
      <c r="F78" s="2">
        <v>197</v>
      </c>
      <c r="G78">
        <v>6.4</v>
      </c>
      <c r="H78" t="s">
        <v>88</v>
      </c>
      <c r="I78">
        <v>13152886</v>
      </c>
      <c r="K78" t="s">
        <v>19</v>
      </c>
      <c r="L78" t="s">
        <v>89</v>
      </c>
      <c r="M78" s="1">
        <v>0.1293</v>
      </c>
      <c r="N78" s="2">
        <v>4.3</v>
      </c>
      <c r="O78" t="b">
        <v>0</v>
      </c>
      <c r="U78" s="2"/>
      <c r="V78" s="2"/>
    </row>
    <row r="79" spans="1:22" x14ac:dyDescent="0.45">
      <c r="A79" t="s">
        <v>61</v>
      </c>
      <c r="B79" t="s">
        <v>66</v>
      </c>
      <c r="C79" t="s">
        <v>47</v>
      </c>
      <c r="E79" t="e">
        <v>#N/A</v>
      </c>
      <c r="F79" s="2">
        <v>6.57</v>
      </c>
      <c r="G79">
        <v>6.36</v>
      </c>
      <c r="H79" t="s">
        <v>88</v>
      </c>
      <c r="I79">
        <v>703541</v>
      </c>
      <c r="K79" t="s">
        <v>19</v>
      </c>
      <c r="L79" t="s">
        <v>89</v>
      </c>
      <c r="M79" s="1">
        <v>5.04E-2</v>
      </c>
      <c r="N79" s="2">
        <v>0.16300000000000001</v>
      </c>
      <c r="O79" t="b">
        <v>0</v>
      </c>
      <c r="T79" s="2">
        <f>F79*$AH$4/$AE$4</f>
        <v>66.906734693877553</v>
      </c>
      <c r="U79" s="2">
        <f>T79*$AA$7/600</f>
        <v>1.8038774064354755E-2</v>
      </c>
      <c r="V79" s="2">
        <f t="shared" si="3"/>
        <v>18.038774064354755</v>
      </c>
    </row>
    <row r="80" spans="1:22" x14ac:dyDescent="0.45">
      <c r="A80" t="s">
        <v>67</v>
      </c>
      <c r="B80" t="s">
        <v>68</v>
      </c>
      <c r="C80" t="s">
        <v>47</v>
      </c>
      <c r="E80" t="e">
        <v>#N/A</v>
      </c>
      <c r="F80" s="2">
        <v>-0.76</v>
      </c>
      <c r="G80">
        <v>6.4</v>
      </c>
      <c r="H80" t="s">
        <v>88</v>
      </c>
      <c r="I80">
        <v>20216</v>
      </c>
      <c r="K80" t="s">
        <v>19</v>
      </c>
      <c r="L80" t="s">
        <v>89</v>
      </c>
      <c r="M80" s="1">
        <v>3.5999999999999999E-3</v>
      </c>
      <c r="N80" s="2">
        <v>3.7799999999999999E-3</v>
      </c>
      <c r="O80" t="b">
        <v>0</v>
      </c>
      <c r="P80" t="s">
        <v>138</v>
      </c>
      <c r="S80" t="s">
        <v>137</v>
      </c>
      <c r="U80" s="9">
        <f>F80*$AA$8/1000</f>
        <v>-1.3012162002597706E-4</v>
      </c>
      <c r="V80" s="9">
        <f t="shared" si="3"/>
        <v>-0.13012162002597707</v>
      </c>
    </row>
    <row r="81" spans="1:22" x14ac:dyDescent="0.45">
      <c r="A81" t="s">
        <v>67</v>
      </c>
      <c r="B81" t="s">
        <v>69</v>
      </c>
      <c r="C81" t="s">
        <v>47</v>
      </c>
      <c r="E81" t="e">
        <v>#N/A</v>
      </c>
      <c r="F81" s="2">
        <v>-0.91300000000000003</v>
      </c>
      <c r="G81">
        <v>2.78</v>
      </c>
      <c r="H81" t="s">
        <v>88</v>
      </c>
      <c r="I81">
        <v>2360</v>
      </c>
      <c r="K81" t="s">
        <v>19</v>
      </c>
      <c r="L81" t="s">
        <v>89</v>
      </c>
      <c r="M81" s="1">
        <v>5.0000000000000001E-4</v>
      </c>
      <c r="N81" s="2">
        <v>4.5100000000000001E-4</v>
      </c>
      <c r="O81" t="b">
        <v>0</v>
      </c>
      <c r="P81" t="s">
        <v>138</v>
      </c>
      <c r="S81" t="s">
        <v>137</v>
      </c>
      <c r="U81" s="9">
        <f>F81*$AA$9/1000</f>
        <v>-1.5416105797614831E-4</v>
      </c>
      <c r="V81" s="9">
        <f t="shared" si="3"/>
        <v>-0.15416105797614832</v>
      </c>
    </row>
    <row r="82" spans="1:22" x14ac:dyDescent="0.45">
      <c r="A82" t="s">
        <v>67</v>
      </c>
      <c r="B82" t="s">
        <v>70</v>
      </c>
      <c r="C82" t="s">
        <v>47</v>
      </c>
      <c r="E82" t="e">
        <v>#N/A</v>
      </c>
      <c r="F82" s="2">
        <v>11.9</v>
      </c>
      <c r="G82">
        <v>6.45</v>
      </c>
      <c r="H82" t="s">
        <v>88</v>
      </c>
      <c r="I82">
        <v>1013757</v>
      </c>
      <c r="K82" t="s">
        <v>19</v>
      </c>
      <c r="L82" t="s">
        <v>89</v>
      </c>
      <c r="M82" s="1">
        <v>2.2599999999999999E-2</v>
      </c>
      <c r="N82" s="2">
        <v>0.27900000000000003</v>
      </c>
      <c r="O82" t="b">
        <v>0</v>
      </c>
      <c r="U82" s="2">
        <f>F82*$AA$10/1000</f>
        <v>2.1076868579525329E-3</v>
      </c>
      <c r="V82" s="2">
        <f t="shared" si="3"/>
        <v>2.1076868579525327</v>
      </c>
    </row>
    <row r="83" spans="1:22" x14ac:dyDescent="0.45">
      <c r="A83" t="s">
        <v>71</v>
      </c>
      <c r="B83" t="s">
        <v>72</v>
      </c>
      <c r="C83" t="s">
        <v>47</v>
      </c>
      <c r="E83" t="e">
        <v>#N/A</v>
      </c>
      <c r="F83" s="2">
        <v>0.49199999999999999</v>
      </c>
      <c r="G83">
        <v>6.49</v>
      </c>
      <c r="H83" t="s">
        <v>88</v>
      </c>
      <c r="I83">
        <v>107544</v>
      </c>
      <c r="K83" t="s">
        <v>19</v>
      </c>
      <c r="L83" t="s">
        <v>89</v>
      </c>
      <c r="M83" s="1">
        <v>2.3E-2</v>
      </c>
      <c r="N83" s="2">
        <v>3.09E-2</v>
      </c>
      <c r="O83" t="b">
        <v>0</v>
      </c>
      <c r="P83" t="s">
        <v>138</v>
      </c>
      <c r="S83" t="s">
        <v>137</v>
      </c>
      <c r="U83" s="9">
        <f>F83*$AA$2/1000</f>
        <v>8.5398512221041445E-5</v>
      </c>
      <c r="V83" s="9">
        <f t="shared" si="3"/>
        <v>8.5398512221041445E-2</v>
      </c>
    </row>
    <row r="84" spans="1:22" x14ac:dyDescent="0.45">
      <c r="A84" t="s">
        <v>71</v>
      </c>
      <c r="B84" t="s">
        <v>73</v>
      </c>
      <c r="C84" t="s">
        <v>47</v>
      </c>
      <c r="E84" t="e">
        <v>#N/A</v>
      </c>
      <c r="F84" s="2">
        <v>5.55</v>
      </c>
      <c r="G84">
        <v>6.49</v>
      </c>
      <c r="H84" t="s">
        <v>88</v>
      </c>
      <c r="I84">
        <v>447446</v>
      </c>
      <c r="K84" t="s">
        <v>19</v>
      </c>
      <c r="L84" t="s">
        <v>89</v>
      </c>
      <c r="M84" s="1">
        <v>6.6500000000000004E-2</v>
      </c>
      <c r="N84" s="2">
        <v>0.14099999999999999</v>
      </c>
      <c r="O84" t="b">
        <v>0</v>
      </c>
      <c r="U84" s="2">
        <f>F84*$AA$3/1000</f>
        <v>9.1746369110875137E-4</v>
      </c>
      <c r="V84" s="2">
        <f t="shared" si="3"/>
        <v>0.91746369110875137</v>
      </c>
    </row>
    <row r="85" spans="1:22" x14ac:dyDescent="0.45">
      <c r="A85" t="s">
        <v>71</v>
      </c>
      <c r="B85" t="s">
        <v>74</v>
      </c>
      <c r="C85" t="s">
        <v>47</v>
      </c>
      <c r="E85" t="e">
        <v>#N/A</v>
      </c>
      <c r="F85" s="2">
        <v>1.71</v>
      </c>
      <c r="G85">
        <v>6.53</v>
      </c>
      <c r="H85" t="s">
        <v>88</v>
      </c>
      <c r="I85">
        <v>182514</v>
      </c>
      <c r="K85" t="s">
        <v>19</v>
      </c>
      <c r="L85" t="s">
        <v>89</v>
      </c>
      <c r="M85" s="1">
        <v>3.4599999999999999E-2</v>
      </c>
      <c r="N85" s="2">
        <v>5.7299999999999997E-2</v>
      </c>
      <c r="O85" t="b">
        <v>0</v>
      </c>
      <c r="S85" t="s">
        <v>137</v>
      </c>
      <c r="U85" s="9">
        <f>F85*$AA$4/1000</f>
        <v>2.8065887353878854E-4</v>
      </c>
      <c r="V85" s="9">
        <f t="shared" si="3"/>
        <v>0.28065887353878854</v>
      </c>
    </row>
    <row r="86" spans="1:22" x14ac:dyDescent="0.45">
      <c r="A86" t="s">
        <v>37</v>
      </c>
      <c r="B86" t="s">
        <v>75</v>
      </c>
      <c r="C86" t="s">
        <v>47</v>
      </c>
      <c r="E86" t="e">
        <v>#N/A</v>
      </c>
      <c r="F86" s="2">
        <v>8.77</v>
      </c>
      <c r="G86">
        <v>6.36</v>
      </c>
      <c r="H86" t="s">
        <v>88</v>
      </c>
      <c r="I86">
        <v>1279011</v>
      </c>
      <c r="K86" t="s">
        <v>19</v>
      </c>
      <c r="L86" t="s">
        <v>89</v>
      </c>
      <c r="M86" s="1">
        <v>1.2200000000000001E-2</v>
      </c>
      <c r="N86" s="2">
        <v>0.21</v>
      </c>
      <c r="O86" t="b">
        <v>0</v>
      </c>
    </row>
    <row r="87" spans="1:22" x14ac:dyDescent="0.45">
      <c r="A87" t="s">
        <v>37</v>
      </c>
      <c r="B87" t="s">
        <v>76</v>
      </c>
      <c r="C87" t="s">
        <v>47</v>
      </c>
      <c r="E87" t="e">
        <v>#N/A</v>
      </c>
      <c r="F87" s="2">
        <v>60.3</v>
      </c>
      <c r="G87">
        <v>6.4</v>
      </c>
      <c r="H87" t="s">
        <v>88</v>
      </c>
      <c r="I87">
        <v>6558745</v>
      </c>
      <c r="K87" t="s">
        <v>19</v>
      </c>
      <c r="L87" t="s">
        <v>89</v>
      </c>
      <c r="M87" s="1">
        <v>3.2000000000000001E-2</v>
      </c>
      <c r="N87" s="2">
        <v>1.33</v>
      </c>
      <c r="O87" t="b">
        <v>0</v>
      </c>
    </row>
    <row r="88" spans="1:22" x14ac:dyDescent="0.45">
      <c r="A88" t="s">
        <v>37</v>
      </c>
      <c r="B88" t="s">
        <v>77</v>
      </c>
      <c r="C88" t="s">
        <v>47</v>
      </c>
      <c r="E88" t="e">
        <v>#N/A</v>
      </c>
      <c r="F88" s="2">
        <v>45</v>
      </c>
      <c r="G88">
        <v>6.4</v>
      </c>
      <c r="H88" t="s">
        <v>88</v>
      </c>
      <c r="I88">
        <v>4886590</v>
      </c>
      <c r="K88" t="s">
        <v>19</v>
      </c>
      <c r="L88" t="s">
        <v>89</v>
      </c>
      <c r="M88" s="1">
        <v>5.0900000000000001E-2</v>
      </c>
      <c r="N88" s="2">
        <v>0.996</v>
      </c>
      <c r="O88" t="b">
        <v>0</v>
      </c>
    </row>
    <row r="89" spans="1:22" x14ac:dyDescent="0.45">
      <c r="A89" t="s">
        <v>37</v>
      </c>
      <c r="B89" t="s">
        <v>78</v>
      </c>
      <c r="C89" t="s">
        <v>47</v>
      </c>
      <c r="E89" t="e">
        <v>#N/A</v>
      </c>
      <c r="F89" s="2">
        <v>-0.93400000000000005</v>
      </c>
      <c r="G89">
        <v>9.17</v>
      </c>
      <c r="H89" t="s">
        <v>88</v>
      </c>
      <c r="I89">
        <v>0</v>
      </c>
      <c r="K89" t="s">
        <v>19</v>
      </c>
      <c r="L89" t="s">
        <v>89</v>
      </c>
      <c r="M89" s="3">
        <v>0</v>
      </c>
      <c r="N89" s="2">
        <v>0</v>
      </c>
      <c r="O89" t="b">
        <v>0</v>
      </c>
    </row>
    <row r="90" spans="1:22" x14ac:dyDescent="0.45">
      <c r="A90" t="s">
        <v>37</v>
      </c>
      <c r="B90" t="s">
        <v>79</v>
      </c>
      <c r="C90" t="s">
        <v>47</v>
      </c>
      <c r="E90" t="e">
        <v>#N/A</v>
      </c>
      <c r="F90">
        <v>0</v>
      </c>
      <c r="G90" t="e">
        <v>#N/A</v>
      </c>
      <c r="H90" t="s">
        <v>88</v>
      </c>
      <c r="I90">
        <v>0</v>
      </c>
      <c r="K90" t="s">
        <v>19</v>
      </c>
      <c r="L90" t="s">
        <v>89</v>
      </c>
      <c r="M90" t="e">
        <v>#N/A</v>
      </c>
      <c r="N90">
        <v>0</v>
      </c>
      <c r="O90" t="b">
        <v>0</v>
      </c>
    </row>
    <row r="91" spans="1:22" x14ac:dyDescent="0.45">
      <c r="A91" t="s">
        <v>37</v>
      </c>
      <c r="B91" t="s">
        <v>80</v>
      </c>
      <c r="C91" t="s">
        <v>47</v>
      </c>
      <c r="E91" t="e">
        <v>#N/A</v>
      </c>
      <c r="F91">
        <v>0</v>
      </c>
      <c r="G91" t="e">
        <v>#N/A</v>
      </c>
      <c r="H91" t="s">
        <v>88</v>
      </c>
      <c r="I91">
        <v>0</v>
      </c>
      <c r="K91" t="s">
        <v>19</v>
      </c>
      <c r="L91" t="s">
        <v>89</v>
      </c>
      <c r="M91" t="e">
        <v>#N/A</v>
      </c>
      <c r="N91">
        <v>0</v>
      </c>
      <c r="O91" t="b">
        <v>0</v>
      </c>
    </row>
    <row r="92" spans="1:22" x14ac:dyDescent="0.45">
      <c r="A92" t="s">
        <v>37</v>
      </c>
      <c r="B92" t="s">
        <v>81</v>
      </c>
      <c r="C92" t="s">
        <v>47</v>
      </c>
      <c r="E92" t="e">
        <v>#N/A</v>
      </c>
      <c r="F92">
        <v>0</v>
      </c>
      <c r="G92" t="e">
        <v>#N/A</v>
      </c>
      <c r="H92" t="s">
        <v>88</v>
      </c>
      <c r="I92">
        <v>0</v>
      </c>
      <c r="K92" t="s">
        <v>19</v>
      </c>
      <c r="L92" t="s">
        <v>89</v>
      </c>
      <c r="M92" t="e">
        <v>#N/A</v>
      </c>
      <c r="N92">
        <v>0</v>
      </c>
      <c r="O92" t="b">
        <v>0</v>
      </c>
    </row>
    <row r="93" spans="1:22" x14ac:dyDescent="0.45">
      <c r="A93" t="s">
        <v>37</v>
      </c>
      <c r="B93" t="s">
        <v>82</v>
      </c>
      <c r="C93" t="s">
        <v>47</v>
      </c>
      <c r="E93" t="e">
        <v>#N/A</v>
      </c>
      <c r="F93">
        <v>0</v>
      </c>
      <c r="G93" t="e">
        <v>#N/A</v>
      </c>
      <c r="H93" t="s">
        <v>88</v>
      </c>
      <c r="I93">
        <v>0</v>
      </c>
      <c r="K93" t="s">
        <v>19</v>
      </c>
      <c r="L93" t="s">
        <v>89</v>
      </c>
      <c r="M93" t="e">
        <v>#N/A</v>
      </c>
      <c r="N93">
        <v>0</v>
      </c>
      <c r="O93" t="b">
        <v>0</v>
      </c>
    </row>
    <row r="94" spans="1:22" x14ac:dyDescent="0.45">
      <c r="A94" t="s">
        <v>37</v>
      </c>
      <c r="B94" t="s">
        <v>83</v>
      </c>
      <c r="C94" t="s">
        <v>47</v>
      </c>
      <c r="E94" t="e">
        <v>#N/A</v>
      </c>
      <c r="F94">
        <v>0</v>
      </c>
      <c r="G94" t="e">
        <v>#N/A</v>
      </c>
      <c r="H94" t="s">
        <v>88</v>
      </c>
      <c r="I94">
        <v>0</v>
      </c>
      <c r="K94" t="s">
        <v>19</v>
      </c>
      <c r="L94" t="s">
        <v>89</v>
      </c>
      <c r="M94" t="e">
        <v>#N/A</v>
      </c>
      <c r="N94">
        <v>0</v>
      </c>
      <c r="O94" t="b">
        <v>0</v>
      </c>
    </row>
    <row r="95" spans="1:22" x14ac:dyDescent="0.45">
      <c r="A95" t="s">
        <v>37</v>
      </c>
      <c r="B95" t="s">
        <v>84</v>
      </c>
      <c r="C95" t="s">
        <v>47</v>
      </c>
      <c r="E95" t="e">
        <v>#N/A</v>
      </c>
      <c r="F95" t="s">
        <v>90</v>
      </c>
      <c r="G95">
        <v>12.79</v>
      </c>
      <c r="H95" t="s">
        <v>88</v>
      </c>
      <c r="I95">
        <v>0</v>
      </c>
      <c r="K95" t="s">
        <v>19</v>
      </c>
      <c r="L95" t="s">
        <v>89</v>
      </c>
      <c r="M95" t="s">
        <v>90</v>
      </c>
      <c r="N95" t="s">
        <v>90</v>
      </c>
      <c r="O95" t="b">
        <v>0</v>
      </c>
    </row>
    <row r="96" spans="1:22" x14ac:dyDescent="0.45">
      <c r="A96" t="s">
        <v>37</v>
      </c>
      <c r="B96" t="s">
        <v>86</v>
      </c>
      <c r="C96" t="s">
        <v>47</v>
      </c>
      <c r="E96" t="e">
        <v>#N/A</v>
      </c>
      <c r="F96">
        <v>0</v>
      </c>
      <c r="G96">
        <v>6.4</v>
      </c>
      <c r="H96" t="s">
        <v>88</v>
      </c>
      <c r="I96">
        <v>5281</v>
      </c>
      <c r="K96" t="s">
        <v>19</v>
      </c>
      <c r="L96" t="s">
        <v>89</v>
      </c>
      <c r="M96" t="s">
        <v>85</v>
      </c>
      <c r="N96">
        <v>0</v>
      </c>
      <c r="O96" t="b">
        <v>0</v>
      </c>
    </row>
    <row r="97" spans="1:22" x14ac:dyDescent="0.45">
      <c r="A97" t="s">
        <v>37</v>
      </c>
      <c r="B97" t="s">
        <v>87</v>
      </c>
      <c r="C97" t="s">
        <v>47</v>
      </c>
      <c r="E97" t="e">
        <v>#N/A</v>
      </c>
      <c r="F97">
        <v>0</v>
      </c>
      <c r="G97" t="e">
        <v>#N/A</v>
      </c>
      <c r="H97" t="s">
        <v>88</v>
      </c>
      <c r="I97">
        <v>0</v>
      </c>
      <c r="K97" t="s">
        <v>19</v>
      </c>
      <c r="L97" t="s">
        <v>89</v>
      </c>
      <c r="M97" t="e">
        <v>#N/A</v>
      </c>
      <c r="N97">
        <v>0</v>
      </c>
      <c r="O97" t="b">
        <v>0</v>
      </c>
    </row>
    <row r="98" spans="1:22" x14ac:dyDescent="0.45">
      <c r="A98" t="s">
        <v>15</v>
      </c>
      <c r="B98" t="s">
        <v>16</v>
      </c>
      <c r="C98" t="s">
        <v>17</v>
      </c>
      <c r="D98">
        <v>0.1</v>
      </c>
      <c r="E98" s="1">
        <v>1.377</v>
      </c>
      <c r="F98" s="2">
        <v>0.13800000000000001</v>
      </c>
      <c r="G98">
        <v>5.33</v>
      </c>
      <c r="H98" t="s">
        <v>91</v>
      </c>
      <c r="I98">
        <v>62700</v>
      </c>
      <c r="K98" t="s">
        <v>19</v>
      </c>
      <c r="L98" t="s">
        <v>92</v>
      </c>
      <c r="M98" s="1">
        <v>1.5299999999999999E-2</v>
      </c>
      <c r="N98" s="2">
        <v>1.5299999999999999E-2</v>
      </c>
      <c r="O98" t="b">
        <v>0</v>
      </c>
    </row>
    <row r="99" spans="1:22" x14ac:dyDescent="0.45">
      <c r="A99" t="s">
        <v>21</v>
      </c>
      <c r="B99" t="s">
        <v>22</v>
      </c>
      <c r="C99" t="s">
        <v>17</v>
      </c>
      <c r="D99">
        <v>0.48</v>
      </c>
      <c r="E99" s="1">
        <v>1.0409999999999999</v>
      </c>
      <c r="F99" s="2">
        <v>0.5</v>
      </c>
      <c r="G99">
        <v>5.33</v>
      </c>
      <c r="H99" t="s">
        <v>91</v>
      </c>
      <c r="I99">
        <v>267654</v>
      </c>
      <c r="K99" t="s">
        <v>19</v>
      </c>
      <c r="L99" t="s">
        <v>92</v>
      </c>
      <c r="M99" s="1">
        <v>5.8799999999999998E-2</v>
      </c>
      <c r="N99" s="2">
        <v>7.0400000000000004E-2</v>
      </c>
      <c r="O99" t="b">
        <v>0</v>
      </c>
    </row>
    <row r="100" spans="1:22" x14ac:dyDescent="0.45">
      <c r="A100" t="s">
        <v>23</v>
      </c>
      <c r="B100" t="s">
        <v>24</v>
      </c>
      <c r="C100" t="s">
        <v>17</v>
      </c>
      <c r="D100">
        <v>0.95</v>
      </c>
      <c r="E100" s="3">
        <v>1.03</v>
      </c>
      <c r="F100" s="2">
        <v>0.97899999999999998</v>
      </c>
      <c r="G100">
        <v>5.33</v>
      </c>
      <c r="H100" t="s">
        <v>91</v>
      </c>
      <c r="I100">
        <v>575241</v>
      </c>
      <c r="K100" t="s">
        <v>19</v>
      </c>
      <c r="L100" t="s">
        <v>92</v>
      </c>
      <c r="M100" s="1">
        <v>0.1011</v>
      </c>
      <c r="N100" s="2">
        <v>0.14299999999999999</v>
      </c>
      <c r="O100" t="b">
        <v>0</v>
      </c>
    </row>
    <row r="101" spans="1:22" x14ac:dyDescent="0.45">
      <c r="A101" t="s">
        <v>25</v>
      </c>
      <c r="B101" t="s">
        <v>26</v>
      </c>
      <c r="C101" t="s">
        <v>17</v>
      </c>
      <c r="D101">
        <v>2.42</v>
      </c>
      <c r="E101" s="1">
        <v>0.61799999999999999</v>
      </c>
      <c r="F101" s="2">
        <v>1.5</v>
      </c>
      <c r="G101">
        <v>5.33</v>
      </c>
      <c r="H101" t="s">
        <v>91</v>
      </c>
      <c r="I101">
        <v>1051416</v>
      </c>
      <c r="K101" t="s">
        <v>19</v>
      </c>
      <c r="L101" t="s">
        <v>92</v>
      </c>
      <c r="M101" s="1">
        <v>0.12470000000000001</v>
      </c>
      <c r="N101" s="2">
        <v>0.222</v>
      </c>
      <c r="O101" t="b">
        <v>0</v>
      </c>
    </row>
    <row r="102" spans="1:22" x14ac:dyDescent="0.45">
      <c r="A102" t="s">
        <v>27</v>
      </c>
      <c r="B102" t="s">
        <v>28</v>
      </c>
      <c r="C102" t="s">
        <v>17</v>
      </c>
      <c r="D102">
        <v>4.76</v>
      </c>
      <c r="E102" s="1">
        <v>0.93700000000000006</v>
      </c>
      <c r="F102" s="2">
        <v>4.46</v>
      </c>
      <c r="G102">
        <v>5.33</v>
      </c>
      <c r="H102" t="s">
        <v>91</v>
      </c>
      <c r="I102">
        <v>2811835</v>
      </c>
      <c r="K102" t="s">
        <v>19</v>
      </c>
      <c r="L102" t="s">
        <v>92</v>
      </c>
      <c r="M102" s="1">
        <v>0.20949999999999999</v>
      </c>
      <c r="N102" s="2">
        <v>0.67200000000000004</v>
      </c>
      <c r="O102" t="b">
        <v>0</v>
      </c>
    </row>
    <row r="103" spans="1:22" x14ac:dyDescent="0.45">
      <c r="A103" t="s">
        <v>29</v>
      </c>
      <c r="B103" t="s">
        <v>30</v>
      </c>
      <c r="C103" t="s">
        <v>17</v>
      </c>
      <c r="D103">
        <v>9.6</v>
      </c>
      <c r="E103" s="1">
        <v>0.95899999999999996</v>
      </c>
      <c r="F103" s="2">
        <v>9.1999999999999993</v>
      </c>
      <c r="G103">
        <v>5.33</v>
      </c>
      <c r="H103" t="s">
        <v>91</v>
      </c>
      <c r="I103">
        <v>6419748</v>
      </c>
      <c r="K103" t="s">
        <v>19</v>
      </c>
      <c r="L103" t="s">
        <v>92</v>
      </c>
      <c r="M103" s="1">
        <v>0.28820000000000001</v>
      </c>
      <c r="N103" s="2">
        <v>1.39</v>
      </c>
      <c r="O103" t="b">
        <v>0</v>
      </c>
    </row>
    <row r="104" spans="1:22" x14ac:dyDescent="0.45">
      <c r="A104" t="s">
        <v>31</v>
      </c>
      <c r="B104" t="s">
        <v>32</v>
      </c>
      <c r="C104" t="s">
        <v>17</v>
      </c>
      <c r="D104">
        <v>23.95</v>
      </c>
      <c r="E104" s="1">
        <v>1.127</v>
      </c>
      <c r="F104" s="2">
        <v>27</v>
      </c>
      <c r="G104">
        <v>5.33</v>
      </c>
      <c r="H104" t="s">
        <v>91</v>
      </c>
      <c r="I104">
        <v>16655228</v>
      </c>
      <c r="K104" t="s">
        <v>19</v>
      </c>
      <c r="L104" t="s">
        <v>92</v>
      </c>
      <c r="M104" s="1">
        <v>0.32850000000000001</v>
      </c>
      <c r="N104" s="2">
        <v>4.0999999999999996</v>
      </c>
      <c r="O104" t="b">
        <v>0</v>
      </c>
      <c r="P104" t="s">
        <v>141</v>
      </c>
      <c r="Q104">
        <v>0.97099999999999997</v>
      </c>
      <c r="U104" s="9">
        <f>Q104*$AA$22/1000</f>
        <v>1.6604100000000002E-4</v>
      </c>
      <c r="V104" s="2">
        <f>U104*1000</f>
        <v>0.16604100000000002</v>
      </c>
    </row>
    <row r="105" spans="1:22" x14ac:dyDescent="0.45">
      <c r="A105" t="s">
        <v>33</v>
      </c>
      <c r="B105" t="s">
        <v>34</v>
      </c>
      <c r="C105" t="s">
        <v>17</v>
      </c>
      <c r="D105">
        <v>48.39</v>
      </c>
      <c r="E105" s="1">
        <v>0.85799999999999998</v>
      </c>
      <c r="F105" s="2">
        <v>41.5</v>
      </c>
      <c r="G105">
        <v>5.33</v>
      </c>
      <c r="H105" t="s">
        <v>91</v>
      </c>
      <c r="I105">
        <v>26544082</v>
      </c>
      <c r="K105" t="s">
        <v>19</v>
      </c>
      <c r="L105" t="s">
        <v>92</v>
      </c>
      <c r="M105" s="1">
        <v>0.31159999999999999</v>
      </c>
      <c r="N105" s="2">
        <v>6.3</v>
      </c>
      <c r="O105" t="b">
        <v>0</v>
      </c>
    </row>
    <row r="106" spans="1:22" x14ac:dyDescent="0.45">
      <c r="A106" t="s">
        <v>35</v>
      </c>
      <c r="B106" t="s">
        <v>36</v>
      </c>
      <c r="C106" t="s">
        <v>17</v>
      </c>
      <c r="D106">
        <v>99.7</v>
      </c>
      <c r="E106" s="1">
        <v>1.054</v>
      </c>
      <c r="F106" s="2">
        <v>105</v>
      </c>
      <c r="G106">
        <v>5.33</v>
      </c>
      <c r="H106" t="s">
        <v>91</v>
      </c>
      <c r="I106">
        <v>71056712</v>
      </c>
      <c r="K106" t="s">
        <v>19</v>
      </c>
      <c r="L106" t="s">
        <v>92</v>
      </c>
      <c r="M106" s="1">
        <v>0.36420000000000002</v>
      </c>
      <c r="N106" s="2">
        <v>16</v>
      </c>
      <c r="O106" t="b">
        <v>0</v>
      </c>
    </row>
    <row r="107" spans="1:22" x14ac:dyDescent="0.45">
      <c r="A107" t="s">
        <v>37</v>
      </c>
      <c r="B107" t="s">
        <v>38</v>
      </c>
      <c r="C107" t="s">
        <v>17</v>
      </c>
      <c r="D107">
        <v>246.3</v>
      </c>
      <c r="E107" s="1">
        <v>0.68300000000000005</v>
      </c>
      <c r="F107" s="2">
        <v>168</v>
      </c>
      <c r="G107">
        <v>5.33</v>
      </c>
      <c r="H107" t="s">
        <v>91</v>
      </c>
      <c r="I107">
        <v>115040344</v>
      </c>
      <c r="K107" t="s">
        <v>19</v>
      </c>
      <c r="L107" t="s">
        <v>92</v>
      </c>
      <c r="M107" s="1">
        <v>0.5252</v>
      </c>
      <c r="N107" s="2">
        <v>25.6</v>
      </c>
      <c r="O107" t="b">
        <v>1</v>
      </c>
    </row>
    <row r="108" spans="1:22" x14ac:dyDescent="0.45">
      <c r="A108" t="s">
        <v>37</v>
      </c>
      <c r="B108" t="s">
        <v>39</v>
      </c>
      <c r="C108" t="s">
        <v>17</v>
      </c>
      <c r="D108">
        <v>249.4</v>
      </c>
      <c r="E108" s="1">
        <v>1.3480000000000001</v>
      </c>
      <c r="F108" s="2">
        <v>336</v>
      </c>
      <c r="G108">
        <v>5.33</v>
      </c>
      <c r="H108" t="s">
        <v>91</v>
      </c>
      <c r="I108">
        <v>199364480</v>
      </c>
      <c r="K108" t="s">
        <v>19</v>
      </c>
      <c r="L108" t="s">
        <v>92</v>
      </c>
      <c r="M108" s="1">
        <v>0.13450000000000001</v>
      </c>
      <c r="N108" s="2">
        <v>51.1</v>
      </c>
      <c r="O108" t="b">
        <v>1</v>
      </c>
    </row>
    <row r="109" spans="1:22" x14ac:dyDescent="0.45">
      <c r="A109" t="s">
        <v>40</v>
      </c>
      <c r="B109" t="s">
        <v>41</v>
      </c>
      <c r="C109" t="s">
        <v>42</v>
      </c>
      <c r="E109" t="e">
        <v>#N/A</v>
      </c>
      <c r="F109">
        <v>0</v>
      </c>
      <c r="G109" t="e">
        <v>#N/A</v>
      </c>
      <c r="H109" t="s">
        <v>91</v>
      </c>
      <c r="I109">
        <v>0</v>
      </c>
      <c r="K109" t="s">
        <v>19</v>
      </c>
      <c r="L109" t="s">
        <v>92</v>
      </c>
      <c r="M109" t="e">
        <v>#N/A</v>
      </c>
      <c r="N109">
        <v>0</v>
      </c>
      <c r="O109" t="b">
        <v>0</v>
      </c>
    </row>
    <row r="110" spans="1:22" x14ac:dyDescent="0.45">
      <c r="A110" t="s">
        <v>40</v>
      </c>
      <c r="B110" t="s">
        <v>43</v>
      </c>
      <c r="C110" t="s">
        <v>42</v>
      </c>
      <c r="E110" t="e">
        <v>#N/A</v>
      </c>
      <c r="F110">
        <v>0</v>
      </c>
      <c r="G110" t="e">
        <v>#N/A</v>
      </c>
      <c r="H110" t="s">
        <v>91</v>
      </c>
      <c r="I110">
        <v>0</v>
      </c>
      <c r="K110" t="s">
        <v>19</v>
      </c>
      <c r="L110" t="s">
        <v>92</v>
      </c>
      <c r="M110" t="e">
        <v>#N/A</v>
      </c>
      <c r="N110">
        <v>0</v>
      </c>
      <c r="O110" t="b">
        <v>0</v>
      </c>
    </row>
    <row r="111" spans="1:22" x14ac:dyDescent="0.45">
      <c r="A111" t="s">
        <v>40</v>
      </c>
      <c r="B111" t="s">
        <v>44</v>
      </c>
      <c r="C111" t="s">
        <v>42</v>
      </c>
      <c r="E111" t="e">
        <v>#N/A</v>
      </c>
      <c r="F111">
        <v>0</v>
      </c>
      <c r="G111" t="e">
        <v>#N/A</v>
      </c>
      <c r="H111" t="s">
        <v>91</v>
      </c>
      <c r="I111">
        <v>0</v>
      </c>
      <c r="K111" t="s">
        <v>19</v>
      </c>
      <c r="L111" t="s">
        <v>92</v>
      </c>
      <c r="M111" t="e">
        <v>#N/A</v>
      </c>
      <c r="N111">
        <v>0</v>
      </c>
      <c r="O111" t="b">
        <v>0</v>
      </c>
    </row>
    <row r="112" spans="1:22" x14ac:dyDescent="0.45">
      <c r="A112" t="s">
        <v>45</v>
      </c>
      <c r="B112" t="s">
        <v>46</v>
      </c>
      <c r="C112" t="s">
        <v>47</v>
      </c>
      <c r="E112" t="e">
        <v>#N/A</v>
      </c>
      <c r="F112" s="2">
        <v>0.106</v>
      </c>
      <c r="G112">
        <v>5.31</v>
      </c>
      <c r="H112" t="s">
        <v>91</v>
      </c>
      <c r="I112">
        <v>72765</v>
      </c>
      <c r="K112" t="s">
        <v>19</v>
      </c>
      <c r="L112" t="s">
        <v>92</v>
      </c>
      <c r="M112" s="1">
        <v>1.0500000000000001E-2</v>
      </c>
      <c r="N112" s="2">
        <v>1.0500000000000001E-2</v>
      </c>
      <c r="O112" t="b">
        <v>0</v>
      </c>
      <c r="P112" t="s">
        <v>138</v>
      </c>
      <c r="S112" t="s">
        <v>137</v>
      </c>
      <c r="U112" s="9">
        <f>F112*$AA$17/1000</f>
        <v>1.7147242885818869E-5</v>
      </c>
      <c r="V112" s="9">
        <f t="shared" ref="V112:V114" si="4">U112*1000</f>
        <v>1.714724288581887E-2</v>
      </c>
    </row>
    <row r="113" spans="1:22" x14ac:dyDescent="0.45">
      <c r="A113" t="s">
        <v>45</v>
      </c>
      <c r="B113" t="s">
        <v>48</v>
      </c>
      <c r="C113" t="s">
        <v>47</v>
      </c>
      <c r="E113" t="e">
        <v>#N/A</v>
      </c>
      <c r="F113" s="2">
        <v>5.3900000000000003E-2</v>
      </c>
      <c r="G113">
        <v>5.33</v>
      </c>
      <c r="H113" t="s">
        <v>91</v>
      </c>
      <c r="I113">
        <v>16965</v>
      </c>
      <c r="K113" t="s">
        <v>19</v>
      </c>
      <c r="L113" t="s">
        <v>92</v>
      </c>
      <c r="M113" s="1">
        <v>2.5999999999999999E-3</v>
      </c>
      <c r="N113" s="2">
        <v>2.5799999999999998E-3</v>
      </c>
      <c r="O113" t="b">
        <v>0</v>
      </c>
      <c r="P113" t="s">
        <v>138</v>
      </c>
      <c r="S113" t="s">
        <v>138</v>
      </c>
      <c r="U113" s="9">
        <f>F113*$AA$18/1000</f>
        <v>9.48293777305467E-6</v>
      </c>
      <c r="V113" s="9">
        <f t="shared" si="4"/>
        <v>9.4829377730546692E-3</v>
      </c>
    </row>
    <row r="114" spans="1:22" x14ac:dyDescent="0.45">
      <c r="A114" t="s">
        <v>45</v>
      </c>
      <c r="B114" t="s">
        <v>49</v>
      </c>
      <c r="C114" t="s">
        <v>47</v>
      </c>
      <c r="E114" t="e">
        <v>#N/A</v>
      </c>
      <c r="F114" s="2">
        <v>5.1900000000000002E-2</v>
      </c>
      <c r="G114">
        <v>5.33</v>
      </c>
      <c r="H114" t="s">
        <v>91</v>
      </c>
      <c r="I114">
        <v>16866</v>
      </c>
      <c r="K114" t="s">
        <v>19</v>
      </c>
      <c r="L114" t="s">
        <v>92</v>
      </c>
      <c r="M114" s="1">
        <v>2.3E-3</v>
      </c>
      <c r="N114" s="2">
        <v>2.2699999999999999E-3</v>
      </c>
      <c r="O114" t="b">
        <v>0</v>
      </c>
      <c r="P114" t="s">
        <v>138</v>
      </c>
      <c r="S114" t="s">
        <v>138</v>
      </c>
      <c r="U114" s="9">
        <f>F114*$AA$19/1000</f>
        <v>9.2536308891250444E-6</v>
      </c>
      <c r="V114" s="9">
        <f t="shared" si="4"/>
        <v>9.253630889125045E-3</v>
      </c>
    </row>
    <row r="115" spans="1:22" x14ac:dyDescent="0.45">
      <c r="A115" t="s">
        <v>50</v>
      </c>
      <c r="B115" t="s">
        <v>51</v>
      </c>
      <c r="C115" t="s">
        <v>47</v>
      </c>
      <c r="E115" t="e">
        <v>#N/A</v>
      </c>
      <c r="F115" s="2">
        <v>7.5399999999999995E-2</v>
      </c>
      <c r="G115">
        <v>5.33</v>
      </c>
      <c r="H115" t="s">
        <v>91</v>
      </c>
      <c r="I115">
        <v>19954</v>
      </c>
      <c r="K115" t="s">
        <v>19</v>
      </c>
      <c r="L115" t="s">
        <v>92</v>
      </c>
      <c r="M115" s="1">
        <v>5.8999999999999999E-3</v>
      </c>
      <c r="N115" s="2">
        <v>5.8500000000000002E-3</v>
      </c>
      <c r="O115" t="b">
        <v>0</v>
      </c>
      <c r="P115" t="s">
        <v>138</v>
      </c>
      <c r="S115" t="s">
        <v>138</v>
      </c>
      <c r="U115" s="9">
        <f>F115*$AA$11/1000</f>
        <v>1.3265556736332506E-5</v>
      </c>
      <c r="V115" s="9">
        <f>U115*1000</f>
        <v>1.3265556736332505E-2</v>
      </c>
    </row>
    <row r="116" spans="1:22" x14ac:dyDescent="0.45">
      <c r="A116" t="s">
        <v>50</v>
      </c>
      <c r="B116" t="s">
        <v>52</v>
      </c>
      <c r="C116" t="s">
        <v>47</v>
      </c>
      <c r="E116" t="e">
        <v>#N/A</v>
      </c>
      <c r="F116" s="2">
        <v>4.4900000000000002E-2</v>
      </c>
      <c r="G116">
        <v>5.33</v>
      </c>
      <c r="H116" t="s">
        <v>91</v>
      </c>
      <c r="I116">
        <v>7063</v>
      </c>
      <c r="K116" t="s">
        <v>19</v>
      </c>
      <c r="L116" t="s">
        <v>92</v>
      </c>
      <c r="M116" s="1">
        <v>1.1999999999999999E-3</v>
      </c>
      <c r="N116" s="2">
        <v>1.2099999999999999E-3</v>
      </c>
      <c r="O116" t="b">
        <v>0</v>
      </c>
      <c r="P116" t="s">
        <v>138</v>
      </c>
      <c r="S116" t="s">
        <v>138</v>
      </c>
      <c r="U116" s="9">
        <f>F116*$AA$12/1000</f>
        <v>7.9525327665603972E-6</v>
      </c>
      <c r="V116" s="9">
        <f t="shared" ref="V116:V133" si="5">U116*1000</f>
        <v>7.9525327665603968E-3</v>
      </c>
    </row>
    <row r="117" spans="1:22" x14ac:dyDescent="0.45">
      <c r="A117" t="s">
        <v>50</v>
      </c>
      <c r="B117" t="s">
        <v>53</v>
      </c>
      <c r="C117" t="s">
        <v>47</v>
      </c>
      <c r="E117" t="e">
        <v>#N/A</v>
      </c>
      <c r="F117" s="2">
        <v>5.9400000000000001E-2</v>
      </c>
      <c r="G117">
        <v>5.33</v>
      </c>
      <c r="H117" t="s">
        <v>91</v>
      </c>
      <c r="I117">
        <v>12813</v>
      </c>
      <c r="K117" t="s">
        <v>19</v>
      </c>
      <c r="L117" t="s">
        <v>92</v>
      </c>
      <c r="M117" s="1">
        <v>3.3999999999999998E-3</v>
      </c>
      <c r="N117" s="2">
        <v>3.4199999999999999E-3</v>
      </c>
      <c r="O117" t="b">
        <v>0</v>
      </c>
      <c r="P117" t="s">
        <v>138</v>
      </c>
      <c r="S117" t="s">
        <v>138</v>
      </c>
      <c r="U117" s="9">
        <f>F117*$AA$13/1000</f>
        <v>9.8614240170031894E-6</v>
      </c>
      <c r="V117" s="9">
        <f t="shared" si="5"/>
        <v>9.8614240170031894E-3</v>
      </c>
    </row>
    <row r="118" spans="1:22" x14ac:dyDescent="0.45">
      <c r="A118" t="s">
        <v>50</v>
      </c>
      <c r="B118" t="s">
        <v>54</v>
      </c>
      <c r="C118" t="s">
        <v>47</v>
      </c>
      <c r="E118" t="e">
        <v>#N/A</v>
      </c>
      <c r="F118" s="2">
        <v>0.104</v>
      </c>
      <c r="G118">
        <v>5.35</v>
      </c>
      <c r="H118" t="s">
        <v>91</v>
      </c>
      <c r="I118">
        <v>33661</v>
      </c>
      <c r="K118" t="s">
        <v>19</v>
      </c>
      <c r="L118" t="s">
        <v>92</v>
      </c>
      <c r="M118" s="1">
        <v>8.6999999999999994E-3</v>
      </c>
      <c r="N118" s="2">
        <v>1.0200000000000001E-2</v>
      </c>
      <c r="O118" t="b">
        <v>0</v>
      </c>
      <c r="P118" t="s">
        <v>138</v>
      </c>
      <c r="S118" t="s">
        <v>138</v>
      </c>
      <c r="U118" s="9">
        <f>F118*$AA$14/1000</f>
        <v>1.8432400519541858E-5</v>
      </c>
      <c r="V118" s="9">
        <f>U118*1000</f>
        <v>1.8432400519541859E-2</v>
      </c>
    </row>
    <row r="119" spans="1:22" x14ac:dyDescent="0.45">
      <c r="A119" t="s">
        <v>50</v>
      </c>
      <c r="B119" t="s">
        <v>55</v>
      </c>
      <c r="C119" t="s">
        <v>47</v>
      </c>
      <c r="E119" t="e">
        <v>#N/A</v>
      </c>
      <c r="F119" s="2">
        <v>0.17499999999999999</v>
      </c>
      <c r="G119">
        <v>5.35</v>
      </c>
      <c r="H119" t="s">
        <v>91</v>
      </c>
      <c r="I119">
        <v>82257</v>
      </c>
      <c r="K119" t="s">
        <v>19</v>
      </c>
      <c r="L119" t="s">
        <v>92</v>
      </c>
      <c r="M119" s="1">
        <v>1.9E-2</v>
      </c>
      <c r="N119" s="2">
        <v>2.1100000000000001E-2</v>
      </c>
      <c r="O119" t="b">
        <v>0</v>
      </c>
      <c r="P119" t="s">
        <v>138</v>
      </c>
      <c r="S119" t="s">
        <v>138</v>
      </c>
      <c r="U119" s="9">
        <f>F119*$AA$15/1000</f>
        <v>2.9962215137560509E-5</v>
      </c>
      <c r="V119" s="9">
        <f t="shared" si="5"/>
        <v>2.9962215137560508E-2</v>
      </c>
    </row>
    <row r="120" spans="1:22" x14ac:dyDescent="0.45">
      <c r="A120" t="s">
        <v>50</v>
      </c>
      <c r="B120" t="s">
        <v>56</v>
      </c>
      <c r="C120" t="s">
        <v>47</v>
      </c>
      <c r="E120" t="e">
        <v>#N/A</v>
      </c>
      <c r="F120" s="2">
        <v>0.124</v>
      </c>
      <c r="G120">
        <v>5.35</v>
      </c>
      <c r="H120" t="s">
        <v>91</v>
      </c>
      <c r="I120">
        <v>39921</v>
      </c>
      <c r="K120" t="s">
        <v>19</v>
      </c>
      <c r="L120" t="s">
        <v>92</v>
      </c>
      <c r="M120" s="1">
        <v>1.14E-2</v>
      </c>
      <c r="N120" s="2">
        <v>1.32E-2</v>
      </c>
      <c r="O120" t="b">
        <v>0</v>
      </c>
      <c r="P120" t="s">
        <v>138</v>
      </c>
      <c r="S120" t="s">
        <v>138</v>
      </c>
      <c r="U120" s="9">
        <f>F120*$AA$16/1000</f>
        <v>2.2108867634903765E-5</v>
      </c>
      <c r="V120" s="9">
        <f t="shared" si="5"/>
        <v>2.2108867634903766E-2</v>
      </c>
    </row>
    <row r="121" spans="1:22" x14ac:dyDescent="0.45">
      <c r="A121" t="s">
        <v>57</v>
      </c>
      <c r="B121" t="s">
        <v>58</v>
      </c>
      <c r="C121" t="s">
        <v>47</v>
      </c>
      <c r="E121" t="e">
        <v>#N/A</v>
      </c>
      <c r="F121" s="2">
        <v>6.7</v>
      </c>
      <c r="G121">
        <v>5.33</v>
      </c>
      <c r="H121" t="s">
        <v>91</v>
      </c>
      <c r="I121">
        <v>4311094</v>
      </c>
      <c r="K121" t="s">
        <v>19</v>
      </c>
      <c r="L121" t="s">
        <v>92</v>
      </c>
      <c r="M121" s="1">
        <v>0.28770000000000001</v>
      </c>
      <c r="N121" s="2">
        <v>1.01</v>
      </c>
      <c r="O121" t="b">
        <v>0</v>
      </c>
      <c r="U121" s="2">
        <f>F121*$AA$20/1000</f>
        <v>1.1787696304168143E-3</v>
      </c>
      <c r="V121" s="2">
        <f t="shared" si="5"/>
        <v>1.1787696304168143</v>
      </c>
    </row>
    <row r="122" spans="1:22" x14ac:dyDescent="0.45">
      <c r="A122" t="s">
        <v>59</v>
      </c>
      <c r="B122" t="s">
        <v>60</v>
      </c>
      <c r="C122" t="s">
        <v>47</v>
      </c>
      <c r="E122" t="e">
        <v>#N/A</v>
      </c>
      <c r="F122" s="2">
        <v>93.3</v>
      </c>
      <c r="G122">
        <v>5.35</v>
      </c>
      <c r="H122" t="s">
        <v>91</v>
      </c>
      <c r="I122">
        <v>52991340</v>
      </c>
      <c r="K122" t="s">
        <v>19</v>
      </c>
      <c r="L122" t="s">
        <v>92</v>
      </c>
      <c r="M122" s="1">
        <v>0.51890000000000003</v>
      </c>
      <c r="N122" s="2">
        <v>14.2</v>
      </c>
      <c r="O122" t="b">
        <v>0</v>
      </c>
      <c r="U122" s="2"/>
      <c r="V122" s="2"/>
    </row>
    <row r="123" spans="1:22" x14ac:dyDescent="0.45">
      <c r="A123" t="s">
        <v>61</v>
      </c>
      <c r="B123" t="s">
        <v>62</v>
      </c>
      <c r="C123" t="s">
        <v>47</v>
      </c>
      <c r="E123" t="e">
        <v>#N/A</v>
      </c>
      <c r="F123" s="2">
        <v>7.85</v>
      </c>
      <c r="G123">
        <v>5.31</v>
      </c>
      <c r="H123" t="s">
        <v>91</v>
      </c>
      <c r="I123">
        <v>5732575</v>
      </c>
      <c r="K123" t="s">
        <v>19</v>
      </c>
      <c r="L123" t="s">
        <v>92</v>
      </c>
      <c r="M123" s="1">
        <v>0.43230000000000002</v>
      </c>
      <c r="N123" s="2">
        <v>1.19</v>
      </c>
      <c r="O123" t="b">
        <v>0</v>
      </c>
      <c r="T123" s="2">
        <f>F123*$AH$2/$AE$2</f>
        <v>87.512962962962959</v>
      </c>
      <c r="U123" s="2">
        <f>T123*$AA$5/1000</f>
        <v>1.4156660675316951E-2</v>
      </c>
      <c r="V123" s="2">
        <f t="shared" si="5"/>
        <v>14.156660675316951</v>
      </c>
    </row>
    <row r="124" spans="1:22" x14ac:dyDescent="0.45">
      <c r="A124" t="s">
        <v>59</v>
      </c>
      <c r="B124" t="s">
        <v>63</v>
      </c>
      <c r="C124" t="s">
        <v>47</v>
      </c>
      <c r="E124" t="e">
        <v>#N/A</v>
      </c>
      <c r="F124" s="2">
        <v>137</v>
      </c>
      <c r="G124">
        <v>5.43</v>
      </c>
      <c r="H124" t="s">
        <v>91</v>
      </c>
      <c r="I124">
        <v>51242140</v>
      </c>
      <c r="K124" t="s">
        <v>19</v>
      </c>
      <c r="L124" t="s">
        <v>92</v>
      </c>
      <c r="M124" s="1">
        <v>0.40179999999999999</v>
      </c>
      <c r="N124" s="2">
        <v>20.8</v>
      </c>
      <c r="O124" t="b">
        <v>0</v>
      </c>
      <c r="U124" s="2"/>
      <c r="V124" s="2"/>
    </row>
    <row r="125" spans="1:22" x14ac:dyDescent="0.45">
      <c r="A125" t="s">
        <v>61</v>
      </c>
      <c r="B125" t="s">
        <v>64</v>
      </c>
      <c r="C125" t="s">
        <v>47</v>
      </c>
      <c r="E125" t="e">
        <v>#N/A</v>
      </c>
      <c r="F125" s="2">
        <v>39</v>
      </c>
      <c r="G125">
        <v>5.33</v>
      </c>
      <c r="H125" t="s">
        <v>91</v>
      </c>
      <c r="I125">
        <v>24896306</v>
      </c>
      <c r="K125" t="s">
        <v>19</v>
      </c>
      <c r="L125" t="s">
        <v>92</v>
      </c>
      <c r="M125" s="1">
        <v>0.67379999999999995</v>
      </c>
      <c r="N125" s="2">
        <v>5.92</v>
      </c>
      <c r="O125" t="b">
        <v>0</v>
      </c>
      <c r="T125" s="2">
        <f>F125*$AH$3/$AE$3</f>
        <v>410.17241379310343</v>
      </c>
      <c r="U125" s="2">
        <f>T125*$AA$6/1000</f>
        <v>6.7805098513442547E-2</v>
      </c>
      <c r="V125" s="2">
        <f t="shared" si="5"/>
        <v>67.805098513442545</v>
      </c>
    </row>
    <row r="126" spans="1:22" x14ac:dyDescent="0.45">
      <c r="A126" t="s">
        <v>59</v>
      </c>
      <c r="B126" t="s">
        <v>65</v>
      </c>
      <c r="C126" t="s">
        <v>47</v>
      </c>
      <c r="E126" t="e">
        <v>#N/A</v>
      </c>
      <c r="F126" s="2">
        <v>72.7</v>
      </c>
      <c r="G126">
        <v>5.37</v>
      </c>
      <c r="H126" t="s">
        <v>91</v>
      </c>
      <c r="I126">
        <v>33797464</v>
      </c>
      <c r="K126" t="s">
        <v>19</v>
      </c>
      <c r="L126" t="s">
        <v>92</v>
      </c>
      <c r="M126" s="1">
        <v>0.33210000000000001</v>
      </c>
      <c r="N126" s="2">
        <v>11.1</v>
      </c>
      <c r="O126" t="b">
        <v>0</v>
      </c>
      <c r="U126" s="2"/>
      <c r="V126" s="2"/>
    </row>
    <row r="127" spans="1:22" x14ac:dyDescent="0.45">
      <c r="A127" t="s">
        <v>61</v>
      </c>
      <c r="B127" t="s">
        <v>66</v>
      </c>
      <c r="C127" t="s">
        <v>47</v>
      </c>
      <c r="E127" t="e">
        <v>#N/A</v>
      </c>
      <c r="F127" s="2">
        <v>6.09</v>
      </c>
      <c r="G127">
        <v>5.33</v>
      </c>
      <c r="H127" t="s">
        <v>91</v>
      </c>
      <c r="I127">
        <v>3979299</v>
      </c>
      <c r="K127" t="s">
        <v>19</v>
      </c>
      <c r="L127" t="s">
        <v>92</v>
      </c>
      <c r="M127" s="1">
        <v>0.2853</v>
      </c>
      <c r="N127" s="2">
        <v>0.92</v>
      </c>
      <c r="O127" t="b">
        <v>0</v>
      </c>
      <c r="T127" s="2">
        <f>F127*$AH$4/$AE$4</f>
        <v>62.018571428571441</v>
      </c>
      <c r="U127" s="2">
        <f>T127*$AA$7/600</f>
        <v>1.6720872762849386E-2</v>
      </c>
      <c r="V127" s="2">
        <f t="shared" si="5"/>
        <v>16.720872762849385</v>
      </c>
    </row>
    <row r="128" spans="1:22" ht="12.75" customHeight="1" x14ac:dyDescent="0.45">
      <c r="A128" t="s">
        <v>67</v>
      </c>
      <c r="B128" t="s">
        <v>68</v>
      </c>
      <c r="C128" t="s">
        <v>47</v>
      </c>
      <c r="E128" t="e">
        <v>#N/A</v>
      </c>
      <c r="F128" s="2">
        <v>0.25700000000000001</v>
      </c>
      <c r="G128">
        <v>5.31</v>
      </c>
      <c r="H128" t="s">
        <v>91</v>
      </c>
      <c r="I128">
        <v>178649</v>
      </c>
      <c r="K128" t="s">
        <v>19</v>
      </c>
      <c r="L128" t="s">
        <v>92</v>
      </c>
      <c r="M128" s="1">
        <v>3.15E-2</v>
      </c>
      <c r="N128" s="2">
        <v>3.3399999999999999E-2</v>
      </c>
      <c r="O128" t="b">
        <v>0</v>
      </c>
      <c r="P128" t="s">
        <v>138</v>
      </c>
      <c r="S128" t="s">
        <v>138</v>
      </c>
      <c r="U128" s="9">
        <f>F128*$AA$8/1000</f>
        <v>4.400165308773173E-5</v>
      </c>
      <c r="V128" s="9">
        <f t="shared" si="5"/>
        <v>4.4001653087731726E-2</v>
      </c>
    </row>
    <row r="129" spans="1:22" x14ac:dyDescent="0.45">
      <c r="A129" t="s">
        <v>67</v>
      </c>
      <c r="B129" t="s">
        <v>69</v>
      </c>
      <c r="C129" t="s">
        <v>47</v>
      </c>
      <c r="E129" t="e">
        <v>#N/A</v>
      </c>
      <c r="F129" s="2">
        <v>0.13800000000000001</v>
      </c>
      <c r="G129">
        <v>5.33</v>
      </c>
      <c r="H129" t="s">
        <v>91</v>
      </c>
      <c r="I129">
        <v>80027</v>
      </c>
      <c r="K129" t="s">
        <v>19</v>
      </c>
      <c r="L129" t="s">
        <v>92</v>
      </c>
      <c r="M129" s="1">
        <v>1.5299999999999999E-2</v>
      </c>
      <c r="N129" s="2">
        <v>1.5299999999999999E-2</v>
      </c>
      <c r="O129" t="b">
        <v>0</v>
      </c>
      <c r="P129" t="s">
        <v>138</v>
      </c>
      <c r="S129" t="s">
        <v>138</v>
      </c>
      <c r="U129" s="9">
        <f>F129*$AA$9/1000</f>
        <v>2.3301452355650021E-5</v>
      </c>
      <c r="V129" s="9">
        <f t="shared" si="5"/>
        <v>2.330145235565002E-2</v>
      </c>
    </row>
    <row r="130" spans="1:22" x14ac:dyDescent="0.45">
      <c r="A130" t="s">
        <v>67</v>
      </c>
      <c r="B130" t="s">
        <v>70</v>
      </c>
      <c r="C130" t="s">
        <v>47</v>
      </c>
      <c r="E130" t="e">
        <v>#N/A</v>
      </c>
      <c r="F130" s="2">
        <v>71.3</v>
      </c>
      <c r="G130">
        <v>5.33</v>
      </c>
      <c r="H130" t="s">
        <v>91</v>
      </c>
      <c r="I130">
        <v>39429100</v>
      </c>
      <c r="K130" t="s">
        <v>19</v>
      </c>
      <c r="L130" t="s">
        <v>92</v>
      </c>
      <c r="M130" s="1">
        <v>0.87909999999999999</v>
      </c>
      <c r="N130" s="2">
        <v>10.8</v>
      </c>
      <c r="O130" t="b">
        <v>0</v>
      </c>
      <c r="U130" s="2">
        <f>F130*$AA$10/1000</f>
        <v>1.2628409493446688E-2</v>
      </c>
      <c r="V130" s="2">
        <f t="shared" si="5"/>
        <v>12.628409493446688</v>
      </c>
    </row>
    <row r="131" spans="1:22" x14ac:dyDescent="0.45">
      <c r="A131" t="s">
        <v>71</v>
      </c>
      <c r="B131" t="s">
        <v>72</v>
      </c>
      <c r="C131" t="s">
        <v>47</v>
      </c>
      <c r="E131" t="e">
        <v>#N/A</v>
      </c>
      <c r="F131" s="2">
        <v>1.46</v>
      </c>
      <c r="G131">
        <v>5.37</v>
      </c>
      <c r="H131" t="s">
        <v>91</v>
      </c>
      <c r="I131">
        <v>750131</v>
      </c>
      <c r="K131" t="s">
        <v>19</v>
      </c>
      <c r="L131" t="s">
        <v>92</v>
      </c>
      <c r="M131" s="1">
        <v>0.16020000000000001</v>
      </c>
      <c r="N131" s="2">
        <v>0.216</v>
      </c>
      <c r="O131" t="b">
        <v>0</v>
      </c>
      <c r="U131" s="2">
        <f>F131*$AA$2/1000</f>
        <v>2.5341834927382215E-4</v>
      </c>
      <c r="V131" s="2">
        <f t="shared" si="5"/>
        <v>0.25341834927382217</v>
      </c>
    </row>
    <row r="132" spans="1:22" x14ac:dyDescent="0.45">
      <c r="A132" t="s">
        <v>71</v>
      </c>
      <c r="B132" t="s">
        <v>73</v>
      </c>
      <c r="C132" t="s">
        <v>47</v>
      </c>
      <c r="E132" t="e">
        <v>#N/A</v>
      </c>
      <c r="F132" s="2">
        <v>5.46</v>
      </c>
      <c r="G132">
        <v>5.35</v>
      </c>
      <c r="H132" t="s">
        <v>91</v>
      </c>
      <c r="I132">
        <v>2624033</v>
      </c>
      <c r="K132" t="s">
        <v>19</v>
      </c>
      <c r="L132" t="s">
        <v>92</v>
      </c>
      <c r="M132" s="1">
        <v>0.39019999999999999</v>
      </c>
      <c r="N132" s="2">
        <v>0.82499999999999996</v>
      </c>
      <c r="O132" t="b">
        <v>0</v>
      </c>
      <c r="U132" s="2">
        <f>F132*$AA$3/1000</f>
        <v>9.0258590152320409E-4</v>
      </c>
      <c r="V132" s="2">
        <f t="shared" si="5"/>
        <v>0.90258590152320406</v>
      </c>
    </row>
    <row r="133" spans="1:22" x14ac:dyDescent="0.45">
      <c r="A133" t="s">
        <v>71</v>
      </c>
      <c r="B133" t="s">
        <v>74</v>
      </c>
      <c r="C133" t="s">
        <v>47</v>
      </c>
      <c r="E133" t="e">
        <v>#N/A</v>
      </c>
      <c r="F133" s="2">
        <v>3.14</v>
      </c>
      <c r="G133">
        <v>5.39</v>
      </c>
      <c r="H133" t="s">
        <v>91</v>
      </c>
      <c r="I133">
        <v>1502320</v>
      </c>
      <c r="K133" t="s">
        <v>19</v>
      </c>
      <c r="L133" t="s">
        <v>92</v>
      </c>
      <c r="M133" s="1">
        <v>0.28470000000000001</v>
      </c>
      <c r="N133" s="2">
        <v>0.47099999999999997</v>
      </c>
      <c r="O133" t="b">
        <v>0</v>
      </c>
      <c r="U133" s="2">
        <f>F133*$AA$4/1000</f>
        <v>5.1536190813555329E-4</v>
      </c>
      <c r="V133" s="2">
        <f t="shared" si="5"/>
        <v>0.51536190813555327</v>
      </c>
    </row>
    <row r="134" spans="1:22" x14ac:dyDescent="0.45">
      <c r="A134" t="s">
        <v>37</v>
      </c>
      <c r="B134" t="s">
        <v>75</v>
      </c>
      <c r="C134" t="s">
        <v>47</v>
      </c>
      <c r="E134" t="e">
        <v>#N/A</v>
      </c>
      <c r="F134" s="2">
        <v>43.8</v>
      </c>
      <c r="G134">
        <v>5.33</v>
      </c>
      <c r="H134" t="s">
        <v>91</v>
      </c>
      <c r="I134">
        <v>40494392</v>
      </c>
      <c r="K134" t="s">
        <v>19</v>
      </c>
      <c r="L134" t="s">
        <v>92</v>
      </c>
      <c r="M134" s="1">
        <v>0.3876</v>
      </c>
      <c r="N134" s="2">
        <v>6.66</v>
      </c>
      <c r="O134" t="b">
        <v>0</v>
      </c>
    </row>
    <row r="135" spans="1:22" x14ac:dyDescent="0.45">
      <c r="A135" t="s">
        <v>37</v>
      </c>
      <c r="B135" t="s">
        <v>76</v>
      </c>
      <c r="C135" t="s">
        <v>47</v>
      </c>
      <c r="E135" t="e">
        <v>#N/A</v>
      </c>
      <c r="F135" s="2">
        <v>74.900000000000006</v>
      </c>
      <c r="G135">
        <v>5.33</v>
      </c>
      <c r="H135" t="s">
        <v>91</v>
      </c>
      <c r="I135">
        <v>56238368</v>
      </c>
      <c r="K135" t="s">
        <v>19</v>
      </c>
      <c r="L135" t="s">
        <v>92</v>
      </c>
      <c r="M135" s="1">
        <v>0.27479999999999999</v>
      </c>
      <c r="N135" s="2">
        <v>11.4</v>
      </c>
      <c r="O135" t="b">
        <v>0</v>
      </c>
    </row>
    <row r="136" spans="1:22" x14ac:dyDescent="0.45">
      <c r="A136" t="s">
        <v>37</v>
      </c>
      <c r="B136" t="s">
        <v>77</v>
      </c>
      <c r="C136" t="s">
        <v>47</v>
      </c>
      <c r="E136" t="e">
        <v>#N/A</v>
      </c>
      <c r="F136" s="2">
        <v>48.4</v>
      </c>
      <c r="G136">
        <v>5.33</v>
      </c>
      <c r="H136" t="s">
        <v>91</v>
      </c>
      <c r="I136">
        <v>36109372</v>
      </c>
      <c r="K136" t="s">
        <v>19</v>
      </c>
      <c r="L136" t="s">
        <v>92</v>
      </c>
      <c r="M136" s="1">
        <v>0.3765</v>
      </c>
      <c r="N136" s="2">
        <v>7.36</v>
      </c>
      <c r="O136" t="b">
        <v>0</v>
      </c>
    </row>
    <row r="137" spans="1:22" x14ac:dyDescent="0.45">
      <c r="A137" t="s">
        <v>37</v>
      </c>
      <c r="B137" t="s">
        <v>78</v>
      </c>
      <c r="C137" t="s">
        <v>47</v>
      </c>
      <c r="E137" t="e">
        <v>#N/A</v>
      </c>
      <c r="F137" s="2">
        <v>4.02E-2</v>
      </c>
      <c r="G137">
        <v>1.44</v>
      </c>
      <c r="H137" t="s">
        <v>91</v>
      </c>
      <c r="I137">
        <v>2543</v>
      </c>
      <c r="K137" t="s">
        <v>19</v>
      </c>
      <c r="L137" t="s">
        <v>92</v>
      </c>
      <c r="M137" s="1">
        <v>5.0000000000000001E-4</v>
      </c>
      <c r="N137" s="2">
        <v>4.9299999999999995E-4</v>
      </c>
      <c r="O137" t="b">
        <v>0</v>
      </c>
    </row>
    <row r="138" spans="1:22" x14ac:dyDescent="0.45">
      <c r="A138" t="s">
        <v>37</v>
      </c>
      <c r="B138" t="s">
        <v>79</v>
      </c>
      <c r="C138" t="s">
        <v>47</v>
      </c>
      <c r="E138" t="e">
        <v>#N/A</v>
      </c>
      <c r="F138" s="2">
        <v>4.1500000000000002E-2</v>
      </c>
      <c r="G138">
        <v>5.33</v>
      </c>
      <c r="H138" t="s">
        <v>91</v>
      </c>
      <c r="I138">
        <v>3418</v>
      </c>
      <c r="K138" t="s">
        <v>19</v>
      </c>
      <c r="L138" t="s">
        <v>92</v>
      </c>
      <c r="M138" s="1">
        <v>6.9999999999999999E-4</v>
      </c>
      <c r="N138" s="2">
        <v>6.9999999999999999E-4</v>
      </c>
      <c r="O138" t="b">
        <v>0</v>
      </c>
    </row>
    <row r="139" spans="1:22" x14ac:dyDescent="0.45">
      <c r="A139" t="s">
        <v>37</v>
      </c>
      <c r="B139" t="s">
        <v>80</v>
      </c>
      <c r="C139" t="s">
        <v>47</v>
      </c>
      <c r="E139" t="e">
        <v>#N/A</v>
      </c>
      <c r="F139" s="2">
        <v>3.6900000000000002E-2</v>
      </c>
      <c r="G139">
        <v>8.61</v>
      </c>
      <c r="H139" t="s">
        <v>91</v>
      </c>
      <c r="I139">
        <v>0</v>
      </c>
      <c r="K139" t="s">
        <v>19</v>
      </c>
      <c r="L139" t="s">
        <v>92</v>
      </c>
      <c r="M139" s="3">
        <v>0</v>
      </c>
      <c r="N139" s="2">
        <v>0</v>
      </c>
      <c r="O139" t="b">
        <v>0</v>
      </c>
    </row>
    <row r="140" spans="1:22" x14ac:dyDescent="0.45">
      <c r="A140" t="s">
        <v>37</v>
      </c>
      <c r="B140" t="s">
        <v>81</v>
      </c>
      <c r="C140" t="s">
        <v>47</v>
      </c>
      <c r="E140" t="e">
        <v>#N/A</v>
      </c>
      <c r="F140" s="2">
        <v>4.1099999999999998E-2</v>
      </c>
      <c r="G140">
        <v>5.33</v>
      </c>
      <c r="H140" t="s">
        <v>91</v>
      </c>
      <c r="I140">
        <v>3062</v>
      </c>
      <c r="K140" t="s">
        <v>19</v>
      </c>
      <c r="L140" t="s">
        <v>92</v>
      </c>
      <c r="M140" s="1">
        <v>5.9999999999999995E-4</v>
      </c>
      <c r="N140" s="2">
        <v>6.3100000000000005E-4</v>
      </c>
      <c r="O140" t="b">
        <v>0</v>
      </c>
    </row>
    <row r="141" spans="1:22" x14ac:dyDescent="0.45">
      <c r="A141" t="s">
        <v>37</v>
      </c>
      <c r="B141" t="s">
        <v>82</v>
      </c>
      <c r="C141" t="s">
        <v>47</v>
      </c>
      <c r="E141" t="e">
        <v>#N/A</v>
      </c>
      <c r="F141">
        <v>0</v>
      </c>
      <c r="G141" t="e">
        <v>#N/A</v>
      </c>
      <c r="H141" t="s">
        <v>91</v>
      </c>
      <c r="I141">
        <v>0</v>
      </c>
      <c r="K141" t="s">
        <v>19</v>
      </c>
      <c r="L141" t="s">
        <v>92</v>
      </c>
      <c r="M141" t="e">
        <v>#N/A</v>
      </c>
      <c r="N141">
        <v>0</v>
      </c>
      <c r="O141" t="b">
        <v>0</v>
      </c>
    </row>
    <row r="142" spans="1:22" x14ac:dyDescent="0.45">
      <c r="A142" t="s">
        <v>37</v>
      </c>
      <c r="B142" t="s">
        <v>83</v>
      </c>
      <c r="C142" t="s">
        <v>47</v>
      </c>
      <c r="E142" t="e">
        <v>#N/A</v>
      </c>
      <c r="F142">
        <v>0</v>
      </c>
      <c r="G142" t="e">
        <v>#N/A</v>
      </c>
      <c r="H142" t="s">
        <v>91</v>
      </c>
      <c r="I142">
        <v>0</v>
      </c>
      <c r="K142" t="s">
        <v>19</v>
      </c>
      <c r="L142" t="s">
        <v>92</v>
      </c>
      <c r="M142" t="e">
        <v>#N/A</v>
      </c>
      <c r="N142">
        <v>0</v>
      </c>
      <c r="O142" t="b">
        <v>0</v>
      </c>
    </row>
    <row r="143" spans="1:22" x14ac:dyDescent="0.45">
      <c r="A143" t="s">
        <v>37</v>
      </c>
      <c r="B143" t="s">
        <v>84</v>
      </c>
      <c r="C143" t="s">
        <v>47</v>
      </c>
      <c r="E143" t="e">
        <v>#N/A</v>
      </c>
      <c r="F143">
        <v>0</v>
      </c>
      <c r="G143" t="e">
        <v>#N/A</v>
      </c>
      <c r="H143" t="s">
        <v>91</v>
      </c>
      <c r="I143">
        <v>0</v>
      </c>
      <c r="K143" t="s">
        <v>19</v>
      </c>
      <c r="L143" t="s">
        <v>92</v>
      </c>
      <c r="M143" t="e">
        <v>#N/A</v>
      </c>
      <c r="N143">
        <v>0</v>
      </c>
      <c r="O143" t="b">
        <v>0</v>
      </c>
    </row>
    <row r="144" spans="1:22" x14ac:dyDescent="0.45">
      <c r="A144" t="s">
        <v>37</v>
      </c>
      <c r="B144" t="s">
        <v>86</v>
      </c>
      <c r="C144" t="s">
        <v>47</v>
      </c>
      <c r="E144" t="e">
        <v>#N/A</v>
      </c>
      <c r="F144">
        <v>0</v>
      </c>
      <c r="G144">
        <v>5.33</v>
      </c>
      <c r="H144" t="s">
        <v>91</v>
      </c>
      <c r="I144">
        <v>12618</v>
      </c>
      <c r="K144" t="s">
        <v>19</v>
      </c>
      <c r="L144" t="s">
        <v>92</v>
      </c>
      <c r="M144" t="s">
        <v>85</v>
      </c>
      <c r="N144">
        <v>0</v>
      </c>
      <c r="O144" t="b">
        <v>0</v>
      </c>
    </row>
    <row r="145" spans="1:22" x14ac:dyDescent="0.45">
      <c r="A145" t="s">
        <v>37</v>
      </c>
      <c r="B145" t="s">
        <v>87</v>
      </c>
      <c r="C145" t="s">
        <v>47</v>
      </c>
      <c r="E145" t="e">
        <v>#N/A</v>
      </c>
      <c r="F145">
        <v>0</v>
      </c>
      <c r="G145" t="e">
        <v>#N/A</v>
      </c>
      <c r="H145" t="s">
        <v>91</v>
      </c>
      <c r="I145">
        <v>0</v>
      </c>
      <c r="K145" t="s">
        <v>19</v>
      </c>
      <c r="L145" t="s">
        <v>92</v>
      </c>
      <c r="M145" t="e">
        <v>#N/A</v>
      </c>
      <c r="N145">
        <v>0</v>
      </c>
      <c r="O145" t="b">
        <v>0</v>
      </c>
    </row>
    <row r="146" spans="1:22" x14ac:dyDescent="0.45">
      <c r="A146" t="s">
        <v>15</v>
      </c>
      <c r="B146" t="s">
        <v>16</v>
      </c>
      <c r="C146" t="s">
        <v>17</v>
      </c>
      <c r="D146">
        <v>0.1</v>
      </c>
      <c r="E146" t="e">
        <v>#N/A</v>
      </c>
      <c r="F146">
        <v>0</v>
      </c>
      <c r="G146" t="e">
        <v>#N/A</v>
      </c>
      <c r="H146" t="s">
        <v>93</v>
      </c>
      <c r="I146">
        <v>0</v>
      </c>
      <c r="K146" t="s">
        <v>19</v>
      </c>
      <c r="L146" t="s">
        <v>94</v>
      </c>
      <c r="M146" t="e">
        <v>#N/A</v>
      </c>
      <c r="N146">
        <v>0</v>
      </c>
      <c r="O146" t="b">
        <v>1</v>
      </c>
    </row>
    <row r="147" spans="1:22" x14ac:dyDescent="0.45">
      <c r="A147" t="s">
        <v>21</v>
      </c>
      <c r="B147" t="s">
        <v>22</v>
      </c>
      <c r="C147" t="s">
        <v>17</v>
      </c>
      <c r="D147">
        <v>0.49</v>
      </c>
      <c r="E147" s="1">
        <v>1.5209999999999999</v>
      </c>
      <c r="F147" s="2">
        <v>0.745</v>
      </c>
      <c r="G147">
        <v>2.96</v>
      </c>
      <c r="H147" t="s">
        <v>93</v>
      </c>
      <c r="I147">
        <v>9403</v>
      </c>
      <c r="K147" t="s">
        <v>19</v>
      </c>
      <c r="L147" t="s">
        <v>94</v>
      </c>
      <c r="M147" s="1">
        <v>2.0999999999999999E-3</v>
      </c>
      <c r="N147" s="2">
        <v>2.47E-3</v>
      </c>
      <c r="O147" t="b">
        <v>1</v>
      </c>
    </row>
    <row r="148" spans="1:22" x14ac:dyDescent="0.45">
      <c r="A148" t="s">
        <v>23</v>
      </c>
      <c r="B148" t="s">
        <v>24</v>
      </c>
      <c r="C148" t="s">
        <v>17</v>
      </c>
      <c r="D148">
        <v>0.97</v>
      </c>
      <c r="E148" s="1">
        <v>1.3109999999999999</v>
      </c>
      <c r="F148" s="2">
        <v>1.27</v>
      </c>
      <c r="G148">
        <v>2.96</v>
      </c>
      <c r="H148" t="s">
        <v>93</v>
      </c>
      <c r="I148">
        <v>19554</v>
      </c>
      <c r="K148" t="s">
        <v>19</v>
      </c>
      <c r="L148" t="s">
        <v>94</v>
      </c>
      <c r="M148" s="1">
        <v>3.3999999999999998E-3</v>
      </c>
      <c r="N148" s="2">
        <v>4.8700000000000002E-3</v>
      </c>
      <c r="O148" t="b">
        <v>0</v>
      </c>
    </row>
    <row r="149" spans="1:22" x14ac:dyDescent="0.45">
      <c r="A149" t="s">
        <v>25</v>
      </c>
      <c r="B149" t="s">
        <v>26</v>
      </c>
      <c r="C149" t="s">
        <v>17</v>
      </c>
      <c r="D149">
        <v>2.4700000000000002</v>
      </c>
      <c r="E149" s="1">
        <v>0.63200000000000001</v>
      </c>
      <c r="F149" s="2">
        <v>1.56</v>
      </c>
      <c r="G149">
        <v>3</v>
      </c>
      <c r="H149" t="s">
        <v>93</v>
      </c>
      <c r="I149">
        <v>29342</v>
      </c>
      <c r="K149" t="s">
        <v>19</v>
      </c>
      <c r="L149" t="s">
        <v>94</v>
      </c>
      <c r="M149" s="1">
        <v>3.5000000000000001E-3</v>
      </c>
      <c r="N149" s="2">
        <v>6.1900000000000002E-3</v>
      </c>
      <c r="O149" t="b">
        <v>0</v>
      </c>
      <c r="P149" t="s">
        <v>141</v>
      </c>
      <c r="Q149">
        <v>6.32</v>
      </c>
      <c r="U149" s="9">
        <f>Q149*$AA$22/1000</f>
        <v>1.0807200000000001E-3</v>
      </c>
      <c r="V149" s="2">
        <f>U149*1000</f>
        <v>1.0807200000000001</v>
      </c>
    </row>
    <row r="150" spans="1:22" x14ac:dyDescent="0.45">
      <c r="A150" t="s">
        <v>27</v>
      </c>
      <c r="B150" t="s">
        <v>28</v>
      </c>
      <c r="C150" t="s">
        <v>17</v>
      </c>
      <c r="D150">
        <v>4.87</v>
      </c>
      <c r="E150" s="1">
        <v>1.125</v>
      </c>
      <c r="F150" s="2">
        <v>5.48</v>
      </c>
      <c r="G150">
        <v>2.96</v>
      </c>
      <c r="H150" t="s">
        <v>93</v>
      </c>
      <c r="I150">
        <v>100476</v>
      </c>
      <c r="K150" t="s">
        <v>19</v>
      </c>
      <c r="L150" t="s">
        <v>94</v>
      </c>
      <c r="M150" s="1">
        <v>7.4999999999999997E-3</v>
      </c>
      <c r="N150" s="2">
        <v>2.4E-2</v>
      </c>
      <c r="O150" t="b">
        <v>0</v>
      </c>
    </row>
    <row r="151" spans="1:22" x14ac:dyDescent="0.45">
      <c r="A151" t="s">
        <v>29</v>
      </c>
      <c r="B151" t="s">
        <v>30</v>
      </c>
      <c r="C151" t="s">
        <v>17</v>
      </c>
      <c r="D151">
        <v>9.82</v>
      </c>
      <c r="E151" s="1">
        <v>0.88500000000000001</v>
      </c>
      <c r="F151" s="2">
        <v>8.69</v>
      </c>
      <c r="G151">
        <v>3</v>
      </c>
      <c r="H151" t="s">
        <v>93</v>
      </c>
      <c r="I151">
        <v>178075</v>
      </c>
      <c r="K151" t="s">
        <v>19</v>
      </c>
      <c r="L151" t="s">
        <v>94</v>
      </c>
      <c r="M151" s="1">
        <v>8.0000000000000002E-3</v>
      </c>
      <c r="N151" s="2">
        <v>3.8699999999999998E-2</v>
      </c>
      <c r="O151" t="b">
        <v>0</v>
      </c>
    </row>
    <row r="152" spans="1:22" x14ac:dyDescent="0.45">
      <c r="A152" t="s">
        <v>31</v>
      </c>
      <c r="B152" t="s">
        <v>32</v>
      </c>
      <c r="C152" t="s">
        <v>17</v>
      </c>
      <c r="D152">
        <v>24.47</v>
      </c>
      <c r="E152" s="1">
        <v>1.046</v>
      </c>
      <c r="F152" s="2">
        <v>25.6</v>
      </c>
      <c r="G152">
        <v>2.96</v>
      </c>
      <c r="H152" t="s">
        <v>93</v>
      </c>
      <c r="I152">
        <v>469843</v>
      </c>
      <c r="K152" t="s">
        <v>19</v>
      </c>
      <c r="L152" t="s">
        <v>94</v>
      </c>
      <c r="M152" s="1">
        <v>9.2999999999999992E-3</v>
      </c>
      <c r="N152" s="2">
        <v>0.11600000000000001</v>
      </c>
      <c r="O152" t="b">
        <v>0</v>
      </c>
    </row>
    <row r="153" spans="1:22" x14ac:dyDescent="0.45">
      <c r="A153" t="s">
        <v>33</v>
      </c>
      <c r="B153" t="s">
        <v>34</v>
      </c>
      <c r="C153" t="s">
        <v>17</v>
      </c>
      <c r="D153">
        <v>49.43</v>
      </c>
      <c r="E153" s="3">
        <v>0.8</v>
      </c>
      <c r="F153" s="2">
        <v>39.6</v>
      </c>
      <c r="G153">
        <v>2.96</v>
      </c>
      <c r="H153" t="s">
        <v>93</v>
      </c>
      <c r="I153">
        <v>754438</v>
      </c>
      <c r="K153" t="s">
        <v>19</v>
      </c>
      <c r="L153" t="s">
        <v>94</v>
      </c>
      <c r="M153" s="1">
        <v>8.8999999999999999E-3</v>
      </c>
      <c r="N153" s="2">
        <v>0.17899999999999999</v>
      </c>
      <c r="O153" t="b">
        <v>1</v>
      </c>
    </row>
    <row r="154" spans="1:22" x14ac:dyDescent="0.45">
      <c r="A154" t="s">
        <v>35</v>
      </c>
      <c r="B154" t="s">
        <v>36</v>
      </c>
      <c r="C154" t="s">
        <v>17</v>
      </c>
      <c r="D154">
        <v>101.89</v>
      </c>
      <c r="E154" s="1">
        <v>0.58199999999999996</v>
      </c>
      <c r="F154" s="2">
        <v>59.3</v>
      </c>
      <c r="G154">
        <v>2.96</v>
      </c>
      <c r="H154" t="s">
        <v>93</v>
      </c>
      <c r="I154">
        <v>1196100</v>
      </c>
      <c r="K154" t="s">
        <v>19</v>
      </c>
      <c r="L154" t="s">
        <v>94</v>
      </c>
      <c r="M154" s="1">
        <v>6.1000000000000004E-3</v>
      </c>
      <c r="N154" s="2">
        <v>0.26900000000000002</v>
      </c>
      <c r="O154" t="b">
        <v>1</v>
      </c>
    </row>
    <row r="155" spans="1:22" x14ac:dyDescent="0.45">
      <c r="A155" t="s">
        <v>37</v>
      </c>
      <c r="B155" t="s">
        <v>38</v>
      </c>
      <c r="C155" t="s">
        <v>17</v>
      </c>
      <c r="D155">
        <v>251.58</v>
      </c>
      <c r="E155" s="1">
        <v>0.48599999999999999</v>
      </c>
      <c r="F155" s="2">
        <v>122</v>
      </c>
      <c r="G155">
        <v>2.96</v>
      </c>
      <c r="H155" t="s">
        <v>93</v>
      </c>
      <c r="I155">
        <v>2499769</v>
      </c>
      <c r="K155" t="s">
        <v>19</v>
      </c>
      <c r="L155" t="s">
        <v>94</v>
      </c>
      <c r="M155" s="1">
        <v>1.14E-2</v>
      </c>
      <c r="N155" s="2">
        <v>0.55600000000000005</v>
      </c>
      <c r="O155" t="b">
        <v>1</v>
      </c>
    </row>
    <row r="156" spans="1:22" x14ac:dyDescent="0.45">
      <c r="A156" t="s">
        <v>37</v>
      </c>
      <c r="B156" t="s">
        <v>39</v>
      </c>
      <c r="C156" t="s">
        <v>17</v>
      </c>
      <c r="D156">
        <v>506.03</v>
      </c>
      <c r="E156" s="1">
        <v>0.437</v>
      </c>
      <c r="F156" s="2">
        <v>221</v>
      </c>
      <c r="G156">
        <v>2.96</v>
      </c>
      <c r="H156" t="s">
        <v>93</v>
      </c>
      <c r="I156">
        <v>3919255</v>
      </c>
      <c r="K156" t="s">
        <v>19</v>
      </c>
      <c r="L156" t="s">
        <v>94</v>
      </c>
      <c r="M156" s="1">
        <v>2.5999999999999999E-3</v>
      </c>
      <c r="N156" s="2">
        <v>1</v>
      </c>
      <c r="O156" t="b">
        <v>1</v>
      </c>
    </row>
    <row r="157" spans="1:22" x14ac:dyDescent="0.45">
      <c r="A157" t="s">
        <v>40</v>
      </c>
      <c r="B157" t="s">
        <v>41</v>
      </c>
      <c r="C157" t="s">
        <v>42</v>
      </c>
      <c r="E157" t="e">
        <v>#N/A</v>
      </c>
      <c r="F157">
        <v>0</v>
      </c>
      <c r="G157" t="e">
        <v>#N/A</v>
      </c>
      <c r="H157" t="s">
        <v>93</v>
      </c>
      <c r="I157">
        <v>0</v>
      </c>
      <c r="K157" t="s">
        <v>19</v>
      </c>
      <c r="L157" t="s">
        <v>94</v>
      </c>
      <c r="M157" t="e">
        <v>#N/A</v>
      </c>
      <c r="N157">
        <v>0</v>
      </c>
      <c r="O157" t="b">
        <v>0</v>
      </c>
    </row>
    <row r="158" spans="1:22" x14ac:dyDescent="0.45">
      <c r="A158" t="s">
        <v>40</v>
      </c>
      <c r="B158" t="s">
        <v>43</v>
      </c>
      <c r="C158" t="s">
        <v>42</v>
      </c>
      <c r="E158" t="e">
        <v>#N/A</v>
      </c>
      <c r="F158">
        <v>0</v>
      </c>
      <c r="G158" t="e">
        <v>#N/A</v>
      </c>
      <c r="H158" t="s">
        <v>93</v>
      </c>
      <c r="I158">
        <v>0</v>
      </c>
      <c r="K158" t="s">
        <v>19</v>
      </c>
      <c r="L158" t="s">
        <v>94</v>
      </c>
      <c r="M158" t="e">
        <v>#N/A</v>
      </c>
      <c r="N158">
        <v>0</v>
      </c>
      <c r="O158" t="b">
        <v>0</v>
      </c>
    </row>
    <row r="159" spans="1:22" x14ac:dyDescent="0.45">
      <c r="A159" t="s">
        <v>40</v>
      </c>
      <c r="B159" t="s">
        <v>44</v>
      </c>
      <c r="C159" t="s">
        <v>42</v>
      </c>
      <c r="E159" t="e">
        <v>#N/A</v>
      </c>
      <c r="F159">
        <v>0</v>
      </c>
      <c r="G159" t="e">
        <v>#N/A</v>
      </c>
      <c r="H159" t="s">
        <v>93</v>
      </c>
      <c r="I159">
        <v>0</v>
      </c>
      <c r="K159" t="s">
        <v>19</v>
      </c>
      <c r="L159" t="s">
        <v>94</v>
      </c>
      <c r="M159" t="e">
        <v>#N/A</v>
      </c>
      <c r="N159">
        <v>0</v>
      </c>
      <c r="O159" t="b">
        <v>0</v>
      </c>
    </row>
    <row r="160" spans="1:22" x14ac:dyDescent="0.45">
      <c r="A160" t="s">
        <v>45</v>
      </c>
      <c r="B160" t="s">
        <v>46</v>
      </c>
      <c r="C160" t="s">
        <v>47</v>
      </c>
      <c r="E160" t="e">
        <v>#N/A</v>
      </c>
      <c r="F160">
        <v>0</v>
      </c>
      <c r="G160" t="e">
        <v>#N/A</v>
      </c>
      <c r="H160" t="s">
        <v>93</v>
      </c>
      <c r="I160">
        <v>0</v>
      </c>
      <c r="K160" t="s">
        <v>19</v>
      </c>
      <c r="L160" t="s">
        <v>94</v>
      </c>
      <c r="M160" t="e">
        <v>#N/A</v>
      </c>
      <c r="N160">
        <v>0</v>
      </c>
      <c r="O160" t="b">
        <v>0</v>
      </c>
      <c r="P160" t="s">
        <v>138</v>
      </c>
      <c r="S160" t="s">
        <v>137</v>
      </c>
      <c r="U160" s="9">
        <f>F160*$AA$17/1000</f>
        <v>0</v>
      </c>
      <c r="V160" s="9">
        <f t="shared" ref="V160:V162" si="6">U160*1000</f>
        <v>0</v>
      </c>
    </row>
    <row r="161" spans="1:22" x14ac:dyDescent="0.45">
      <c r="A161" t="s">
        <v>45</v>
      </c>
      <c r="B161" t="s">
        <v>48</v>
      </c>
      <c r="C161" t="s">
        <v>47</v>
      </c>
      <c r="E161" t="e">
        <v>#N/A</v>
      </c>
      <c r="F161">
        <v>0</v>
      </c>
      <c r="G161" t="e">
        <v>#N/A</v>
      </c>
      <c r="H161" t="s">
        <v>93</v>
      </c>
      <c r="I161">
        <v>0</v>
      </c>
      <c r="K161" t="s">
        <v>19</v>
      </c>
      <c r="L161" t="s">
        <v>94</v>
      </c>
      <c r="M161" t="e">
        <v>#N/A</v>
      </c>
      <c r="N161">
        <v>0</v>
      </c>
      <c r="O161" t="b">
        <v>0</v>
      </c>
      <c r="P161" t="s">
        <v>138</v>
      </c>
      <c r="S161" t="s">
        <v>137</v>
      </c>
      <c r="U161" s="9">
        <f>F161*$AA$18/1000</f>
        <v>0</v>
      </c>
      <c r="V161" s="9">
        <f t="shared" si="6"/>
        <v>0</v>
      </c>
    </row>
    <row r="162" spans="1:22" x14ac:dyDescent="0.45">
      <c r="A162" t="s">
        <v>45</v>
      </c>
      <c r="B162" t="s">
        <v>49</v>
      </c>
      <c r="C162" t="s">
        <v>47</v>
      </c>
      <c r="E162" t="e">
        <v>#N/A</v>
      </c>
      <c r="F162">
        <v>0</v>
      </c>
      <c r="G162" t="e">
        <v>#N/A</v>
      </c>
      <c r="H162" t="s">
        <v>93</v>
      </c>
      <c r="I162">
        <v>0</v>
      </c>
      <c r="K162" t="s">
        <v>19</v>
      </c>
      <c r="L162" t="s">
        <v>94</v>
      </c>
      <c r="M162" t="e">
        <v>#N/A</v>
      </c>
      <c r="N162">
        <v>0</v>
      </c>
      <c r="O162" t="b">
        <v>0</v>
      </c>
      <c r="P162" t="s">
        <v>138</v>
      </c>
      <c r="S162" t="s">
        <v>137</v>
      </c>
      <c r="U162" s="9">
        <f>F162*$AA$19/1000</f>
        <v>0</v>
      </c>
      <c r="V162" s="9">
        <f t="shared" si="6"/>
        <v>0</v>
      </c>
    </row>
    <row r="163" spans="1:22" ht="15" customHeight="1" x14ac:dyDescent="0.45">
      <c r="A163" t="s">
        <v>50</v>
      </c>
      <c r="B163" t="s">
        <v>51</v>
      </c>
      <c r="C163" t="s">
        <v>47</v>
      </c>
      <c r="E163" t="e">
        <v>#N/A</v>
      </c>
      <c r="F163">
        <v>0</v>
      </c>
      <c r="G163" t="e">
        <v>#N/A</v>
      </c>
      <c r="H163" t="s">
        <v>93</v>
      </c>
      <c r="I163">
        <v>0</v>
      </c>
      <c r="K163" t="s">
        <v>19</v>
      </c>
      <c r="L163" t="s">
        <v>94</v>
      </c>
      <c r="M163" t="e">
        <v>#N/A</v>
      </c>
      <c r="N163">
        <v>0</v>
      </c>
      <c r="O163" t="b">
        <v>0</v>
      </c>
      <c r="P163" t="s">
        <v>138</v>
      </c>
      <c r="S163" t="s">
        <v>137</v>
      </c>
      <c r="U163" s="9">
        <f>F163*$AA$11/1000</f>
        <v>0</v>
      </c>
      <c r="V163" s="9">
        <f>U163*1000</f>
        <v>0</v>
      </c>
    </row>
    <row r="164" spans="1:22" x14ac:dyDescent="0.45">
      <c r="A164" t="s">
        <v>50</v>
      </c>
      <c r="B164" t="s">
        <v>52</v>
      </c>
      <c r="C164" t="s">
        <v>47</v>
      </c>
      <c r="E164" t="e">
        <v>#N/A</v>
      </c>
      <c r="F164">
        <v>0</v>
      </c>
      <c r="G164" t="e">
        <v>#N/A</v>
      </c>
      <c r="H164" t="s">
        <v>93</v>
      </c>
      <c r="I164">
        <v>0</v>
      </c>
      <c r="K164" t="s">
        <v>19</v>
      </c>
      <c r="L164" t="s">
        <v>94</v>
      </c>
      <c r="M164" t="e">
        <v>#N/A</v>
      </c>
      <c r="N164">
        <v>0</v>
      </c>
      <c r="O164" t="b">
        <v>0</v>
      </c>
      <c r="P164" t="s">
        <v>138</v>
      </c>
      <c r="S164" t="s">
        <v>137</v>
      </c>
      <c r="U164" s="9">
        <f>F164*$AA$12/1000</f>
        <v>0</v>
      </c>
      <c r="V164" s="9">
        <f t="shared" ref="V164:V181" si="7">U164*1000</f>
        <v>0</v>
      </c>
    </row>
    <row r="165" spans="1:22" x14ac:dyDescent="0.45">
      <c r="A165" t="s">
        <v>50</v>
      </c>
      <c r="B165" t="s">
        <v>53</v>
      </c>
      <c r="C165" t="s">
        <v>47</v>
      </c>
      <c r="E165" t="e">
        <v>#N/A</v>
      </c>
      <c r="F165">
        <v>0</v>
      </c>
      <c r="G165" t="e">
        <v>#N/A</v>
      </c>
      <c r="H165" t="s">
        <v>93</v>
      </c>
      <c r="I165">
        <v>0</v>
      </c>
      <c r="K165" t="s">
        <v>19</v>
      </c>
      <c r="L165" t="s">
        <v>94</v>
      </c>
      <c r="M165" t="e">
        <v>#N/A</v>
      </c>
      <c r="N165">
        <v>0</v>
      </c>
      <c r="O165" t="b">
        <v>0</v>
      </c>
      <c r="P165" t="s">
        <v>138</v>
      </c>
      <c r="S165" t="s">
        <v>137</v>
      </c>
      <c r="U165" s="9">
        <f>F165*$AA$13/1000</f>
        <v>0</v>
      </c>
      <c r="V165" s="9">
        <f t="shared" si="7"/>
        <v>0</v>
      </c>
    </row>
    <row r="166" spans="1:22" x14ac:dyDescent="0.45">
      <c r="A166" t="s">
        <v>50</v>
      </c>
      <c r="B166" t="s">
        <v>54</v>
      </c>
      <c r="C166" t="s">
        <v>47</v>
      </c>
      <c r="E166" t="e">
        <v>#N/A</v>
      </c>
      <c r="F166" s="2">
        <v>0.91</v>
      </c>
      <c r="G166">
        <v>6.54</v>
      </c>
      <c r="H166" t="s">
        <v>93</v>
      </c>
      <c r="I166">
        <v>10635</v>
      </c>
      <c r="K166" t="s">
        <v>19</v>
      </c>
      <c r="L166" t="s">
        <v>94</v>
      </c>
      <c r="M166" s="1">
        <v>2.7000000000000001E-3</v>
      </c>
      <c r="N166" s="2">
        <v>3.2200000000000002E-3</v>
      </c>
      <c r="O166" t="b">
        <v>0</v>
      </c>
      <c r="P166" t="s">
        <v>138</v>
      </c>
      <c r="S166" t="s">
        <v>137</v>
      </c>
      <c r="U166" s="9">
        <f>F166*$AA$14/1000</f>
        <v>1.612835045459913E-4</v>
      </c>
      <c r="V166" s="9">
        <f>U166*1000</f>
        <v>0.1612835045459913</v>
      </c>
    </row>
    <row r="167" spans="1:22" x14ac:dyDescent="0.45">
      <c r="A167" t="s">
        <v>50</v>
      </c>
      <c r="B167" t="s">
        <v>55</v>
      </c>
      <c r="C167" t="s">
        <v>47</v>
      </c>
      <c r="E167" t="e">
        <v>#N/A</v>
      </c>
      <c r="F167" s="2">
        <v>0.80100000000000005</v>
      </c>
      <c r="G167">
        <v>3</v>
      </c>
      <c r="H167" t="s">
        <v>93</v>
      </c>
      <c r="I167">
        <v>10642</v>
      </c>
      <c r="K167" t="s">
        <v>19</v>
      </c>
      <c r="L167" t="s">
        <v>94</v>
      </c>
      <c r="M167" s="1">
        <v>2.5000000000000001E-3</v>
      </c>
      <c r="N167" s="2">
        <v>2.7200000000000002E-3</v>
      </c>
      <c r="O167" t="b">
        <v>0</v>
      </c>
      <c r="P167" t="s">
        <v>138</v>
      </c>
      <c r="S167" t="s">
        <v>137</v>
      </c>
      <c r="U167" s="9">
        <f>F167*$AA$15/1000</f>
        <v>1.371413390010627E-4</v>
      </c>
      <c r="V167" s="9">
        <f t="shared" si="7"/>
        <v>0.13714133900106271</v>
      </c>
    </row>
    <row r="168" spans="1:22" x14ac:dyDescent="0.45">
      <c r="A168" t="s">
        <v>50</v>
      </c>
      <c r="B168" t="s">
        <v>56</v>
      </c>
      <c r="C168" t="s">
        <v>47</v>
      </c>
      <c r="E168" t="e">
        <v>#N/A</v>
      </c>
      <c r="F168" s="2">
        <v>0.441</v>
      </c>
      <c r="G168">
        <v>2.96</v>
      </c>
      <c r="H168" t="s">
        <v>93</v>
      </c>
      <c r="I168">
        <v>3282</v>
      </c>
      <c r="K168" t="s">
        <v>19</v>
      </c>
      <c r="L168" t="s">
        <v>94</v>
      </c>
      <c r="M168" s="1">
        <v>8.9999999999999998E-4</v>
      </c>
      <c r="N168" s="2">
        <v>1.09E-3</v>
      </c>
      <c r="O168" t="b">
        <v>0</v>
      </c>
      <c r="P168" t="s">
        <v>138</v>
      </c>
      <c r="S168" t="s">
        <v>137</v>
      </c>
      <c r="U168" s="9">
        <f>F168*$AA$16/1000</f>
        <v>7.8629117959617425E-5</v>
      </c>
      <c r="V168" s="9">
        <f t="shared" si="7"/>
        <v>7.8629117959617426E-2</v>
      </c>
    </row>
    <row r="169" spans="1:22" x14ac:dyDescent="0.45">
      <c r="A169" t="s">
        <v>57</v>
      </c>
      <c r="B169" t="s">
        <v>58</v>
      </c>
      <c r="C169" t="s">
        <v>47</v>
      </c>
      <c r="E169" t="e">
        <v>#N/A</v>
      </c>
      <c r="F169" s="2">
        <v>10.1</v>
      </c>
      <c r="G169">
        <v>3</v>
      </c>
      <c r="H169" t="s">
        <v>93</v>
      </c>
      <c r="I169">
        <v>191232</v>
      </c>
      <c r="K169" t="s">
        <v>19</v>
      </c>
      <c r="L169" t="s">
        <v>94</v>
      </c>
      <c r="M169" s="1">
        <v>1.2800000000000001E-2</v>
      </c>
      <c r="N169" s="2">
        <v>4.4900000000000002E-2</v>
      </c>
      <c r="O169" t="b">
        <v>0</v>
      </c>
      <c r="U169" s="2">
        <f>F169*$AA$20/1000</f>
        <v>1.7769512339119138E-3</v>
      </c>
      <c r="V169" s="2">
        <f t="shared" si="7"/>
        <v>1.7769512339119138</v>
      </c>
    </row>
    <row r="170" spans="1:22" x14ac:dyDescent="0.45">
      <c r="A170" t="s">
        <v>59</v>
      </c>
      <c r="B170" t="s">
        <v>60</v>
      </c>
      <c r="C170" t="s">
        <v>47</v>
      </c>
      <c r="E170" t="e">
        <v>#N/A</v>
      </c>
      <c r="F170" s="2">
        <v>13.9</v>
      </c>
      <c r="G170">
        <v>3</v>
      </c>
      <c r="H170" t="s">
        <v>93</v>
      </c>
      <c r="I170">
        <v>232571</v>
      </c>
      <c r="K170" t="s">
        <v>19</v>
      </c>
      <c r="L170" t="s">
        <v>94</v>
      </c>
      <c r="M170" s="1">
        <v>2.3E-3</v>
      </c>
      <c r="N170" s="2">
        <v>6.2300000000000001E-2</v>
      </c>
      <c r="O170" t="b">
        <v>0</v>
      </c>
      <c r="U170" s="2">
        <f>F170*$AA$5/1000</f>
        <v>2.2485535482347388E-3</v>
      </c>
      <c r="V170" s="2">
        <f t="shared" si="7"/>
        <v>2.2485535482347387</v>
      </c>
    </row>
    <row r="171" spans="1:22" x14ac:dyDescent="0.45">
      <c r="A171" t="s">
        <v>61</v>
      </c>
      <c r="B171" t="s">
        <v>62</v>
      </c>
      <c r="C171" t="s">
        <v>47</v>
      </c>
      <c r="E171" t="e">
        <v>#N/A</v>
      </c>
      <c r="F171" s="2">
        <v>2.48</v>
      </c>
      <c r="G171">
        <v>2.96</v>
      </c>
      <c r="H171" t="s">
        <v>93</v>
      </c>
      <c r="I171">
        <v>50035</v>
      </c>
      <c r="K171" t="s">
        <v>19</v>
      </c>
      <c r="L171" t="s">
        <v>94</v>
      </c>
      <c r="M171" s="1">
        <v>3.8E-3</v>
      </c>
      <c r="N171" s="2">
        <v>1.04E-2</v>
      </c>
      <c r="O171" t="b">
        <v>0</v>
      </c>
      <c r="S171" t="s">
        <v>137</v>
      </c>
      <c r="T171" s="2">
        <f>F171*$AH$2/$AE$2</f>
        <v>27.647407407407403</v>
      </c>
      <c r="U171" s="9">
        <f>T171*$AA$5/1000</f>
        <v>4.4724227356415331E-3</v>
      </c>
      <c r="V171" s="9">
        <f t="shared" si="7"/>
        <v>4.4724227356415334</v>
      </c>
    </row>
    <row r="172" spans="1:22" x14ac:dyDescent="0.45">
      <c r="A172" t="s">
        <v>59</v>
      </c>
      <c r="B172" t="s">
        <v>63</v>
      </c>
      <c r="C172" t="s">
        <v>47</v>
      </c>
      <c r="E172" t="e">
        <v>#N/A</v>
      </c>
      <c r="F172" s="2">
        <v>14.7</v>
      </c>
      <c r="G172">
        <v>3.17</v>
      </c>
      <c r="H172" t="s">
        <v>93</v>
      </c>
      <c r="I172">
        <v>163088</v>
      </c>
      <c r="K172" t="s">
        <v>19</v>
      </c>
      <c r="L172" t="s">
        <v>94</v>
      </c>
      <c r="M172" s="1">
        <v>1.2999999999999999E-3</v>
      </c>
      <c r="N172" s="2">
        <v>6.6100000000000006E-2</v>
      </c>
      <c r="O172" t="b">
        <v>0</v>
      </c>
      <c r="U172" s="2">
        <f>F172*$AA$6/1000</f>
        <v>2.4300389656393907E-3</v>
      </c>
      <c r="V172" s="2">
        <f t="shared" si="7"/>
        <v>2.4300389656393908</v>
      </c>
    </row>
    <row r="173" spans="1:22" x14ac:dyDescent="0.45">
      <c r="A173" t="s">
        <v>61</v>
      </c>
      <c r="B173" t="s">
        <v>64</v>
      </c>
      <c r="C173" t="s">
        <v>47</v>
      </c>
      <c r="E173" t="e">
        <v>#N/A</v>
      </c>
      <c r="F173" s="2">
        <v>8.0399999999999991</v>
      </c>
      <c r="G173">
        <v>3</v>
      </c>
      <c r="H173" t="s">
        <v>93</v>
      </c>
      <c r="I173">
        <v>150065</v>
      </c>
      <c r="K173" t="s">
        <v>19</v>
      </c>
      <c r="L173" t="s">
        <v>94</v>
      </c>
      <c r="M173" s="1">
        <v>4.1000000000000003E-3</v>
      </c>
      <c r="N173" s="2">
        <v>3.5700000000000003E-2</v>
      </c>
      <c r="O173" t="b">
        <v>0</v>
      </c>
      <c r="S173" t="s">
        <v>137</v>
      </c>
      <c r="T173" s="2">
        <f>F173*$AH$3/$AE$3</f>
        <v>84.558620689655157</v>
      </c>
      <c r="U173" s="9">
        <f>T173*$AA$6/1000</f>
        <v>1.3978281847386614E-2</v>
      </c>
      <c r="V173" s="9">
        <f t="shared" si="7"/>
        <v>13.978281847386615</v>
      </c>
    </row>
    <row r="174" spans="1:22" x14ac:dyDescent="0.45">
      <c r="A174" t="s">
        <v>59</v>
      </c>
      <c r="B174" t="s">
        <v>65</v>
      </c>
      <c r="C174" t="s">
        <v>47</v>
      </c>
      <c r="E174" t="e">
        <v>#N/A</v>
      </c>
      <c r="F174" s="2">
        <v>12.6</v>
      </c>
      <c r="G174">
        <v>3.04</v>
      </c>
      <c r="H174" t="s">
        <v>93</v>
      </c>
      <c r="I174">
        <v>172681</v>
      </c>
      <c r="K174" t="s">
        <v>19</v>
      </c>
      <c r="L174" t="s">
        <v>94</v>
      </c>
      <c r="M174" s="1">
        <v>1.6999999999999999E-3</v>
      </c>
      <c r="N174" s="2">
        <v>5.6500000000000002E-2</v>
      </c>
      <c r="O174" t="b">
        <v>0</v>
      </c>
      <c r="U174" s="2">
        <f>F174*$AA$7/600</f>
        <v>3.3970952886999643E-3</v>
      </c>
      <c r="V174" s="2">
        <f t="shared" si="7"/>
        <v>3.3970952886999641</v>
      </c>
    </row>
    <row r="175" spans="1:22" x14ac:dyDescent="0.45">
      <c r="A175" t="s">
        <v>61</v>
      </c>
      <c r="B175" t="s">
        <v>66</v>
      </c>
      <c r="C175" t="s">
        <v>47</v>
      </c>
      <c r="E175" t="e">
        <v>#N/A</v>
      </c>
      <c r="F175" s="2">
        <v>7.05</v>
      </c>
      <c r="G175">
        <v>2.96</v>
      </c>
      <c r="H175" t="s">
        <v>93</v>
      </c>
      <c r="I175">
        <v>134817</v>
      </c>
      <c r="K175" t="s">
        <v>19</v>
      </c>
      <c r="L175" t="s">
        <v>94</v>
      </c>
      <c r="M175" s="1">
        <v>9.7000000000000003E-3</v>
      </c>
      <c r="N175" s="2">
        <v>3.1199999999999999E-2</v>
      </c>
      <c r="O175" t="b">
        <v>0</v>
      </c>
      <c r="S175" t="s">
        <v>137</v>
      </c>
      <c r="T175" s="2">
        <f>F175*$AH$4/$AE$4</f>
        <v>71.794897959183672</v>
      </c>
      <c r="U175" s="9">
        <f>T175*$AA$7/600</f>
        <v>1.9356675365860124E-2</v>
      </c>
      <c r="V175" s="9">
        <f t="shared" si="7"/>
        <v>19.356675365860124</v>
      </c>
    </row>
    <row r="176" spans="1:22" x14ac:dyDescent="0.45">
      <c r="A176" t="s">
        <v>67</v>
      </c>
      <c r="B176" t="s">
        <v>68</v>
      </c>
      <c r="C176" t="s">
        <v>47</v>
      </c>
      <c r="E176" t="e">
        <v>#N/A</v>
      </c>
      <c r="F176" s="2">
        <v>0.36399999999999999</v>
      </c>
      <c r="G176">
        <v>3</v>
      </c>
      <c r="H176" t="s">
        <v>93</v>
      </c>
      <c r="I176">
        <v>3920</v>
      </c>
      <c r="K176" t="s">
        <v>19</v>
      </c>
      <c r="L176" t="s">
        <v>94</v>
      </c>
      <c r="M176" s="1">
        <v>6.9999999999999999E-4</v>
      </c>
      <c r="N176" s="2">
        <v>7.3300000000000004E-4</v>
      </c>
      <c r="O176" t="b">
        <v>0</v>
      </c>
      <c r="P176" t="s">
        <v>138</v>
      </c>
      <c r="S176" t="s">
        <v>138</v>
      </c>
      <c r="U176" s="9">
        <f>F176*$AA$8/1000</f>
        <v>6.2321407486125858E-5</v>
      </c>
      <c r="V176" s="9">
        <f t="shared" si="7"/>
        <v>6.2321407486125857E-2</v>
      </c>
    </row>
    <row r="177" spans="1:22" x14ac:dyDescent="0.45">
      <c r="A177" t="s">
        <v>67</v>
      </c>
      <c r="B177" t="s">
        <v>69</v>
      </c>
      <c r="C177" t="s">
        <v>47</v>
      </c>
      <c r="E177" t="e">
        <v>#N/A</v>
      </c>
      <c r="F177">
        <v>0</v>
      </c>
      <c r="G177" t="e">
        <v>#N/A</v>
      </c>
      <c r="H177" t="s">
        <v>93</v>
      </c>
      <c r="I177">
        <v>0</v>
      </c>
      <c r="K177" t="s">
        <v>19</v>
      </c>
      <c r="L177" t="s">
        <v>94</v>
      </c>
      <c r="M177" t="e">
        <v>#N/A</v>
      </c>
      <c r="N177">
        <v>0</v>
      </c>
      <c r="O177" t="b">
        <v>0</v>
      </c>
      <c r="P177" t="s">
        <v>138</v>
      </c>
      <c r="S177" t="s">
        <v>138</v>
      </c>
      <c r="U177" s="9">
        <f>F177*$AA$9/1000</f>
        <v>0</v>
      </c>
      <c r="V177" s="9">
        <f t="shared" si="7"/>
        <v>0</v>
      </c>
    </row>
    <row r="178" spans="1:22" x14ac:dyDescent="0.45">
      <c r="A178" t="s">
        <v>67</v>
      </c>
      <c r="B178" t="s">
        <v>70</v>
      </c>
      <c r="C178" t="s">
        <v>47</v>
      </c>
      <c r="E178" t="e">
        <v>#N/A</v>
      </c>
      <c r="F178" s="2">
        <v>20.399999999999999</v>
      </c>
      <c r="G178">
        <v>3</v>
      </c>
      <c r="H178" t="s">
        <v>93</v>
      </c>
      <c r="I178">
        <v>334860</v>
      </c>
      <c r="K178" t="s">
        <v>19</v>
      </c>
      <c r="L178" t="s">
        <v>94</v>
      </c>
      <c r="M178" s="1">
        <v>7.4999999999999997E-3</v>
      </c>
      <c r="N178" s="2">
        <v>9.1999999999999998E-2</v>
      </c>
      <c r="O178" t="b">
        <v>0</v>
      </c>
      <c r="U178" s="2">
        <f>F178*$AA$10/1000</f>
        <v>3.6131774707757703E-3</v>
      </c>
      <c r="V178" s="2">
        <f t="shared" si="7"/>
        <v>3.6131774707757702</v>
      </c>
    </row>
    <row r="179" spans="1:22" x14ac:dyDescent="0.45">
      <c r="A179" t="s">
        <v>71</v>
      </c>
      <c r="B179" t="s">
        <v>72</v>
      </c>
      <c r="C179" t="s">
        <v>47</v>
      </c>
      <c r="E179" t="e">
        <v>#N/A</v>
      </c>
      <c r="F179" s="2">
        <v>3.78</v>
      </c>
      <c r="G179">
        <v>3</v>
      </c>
      <c r="H179" t="s">
        <v>93</v>
      </c>
      <c r="I179">
        <v>56643</v>
      </c>
      <c r="K179" t="s">
        <v>19</v>
      </c>
      <c r="L179" t="s">
        <v>94</v>
      </c>
      <c r="M179" s="1">
        <v>1.21E-2</v>
      </c>
      <c r="N179" s="2">
        <v>1.6299999999999999E-2</v>
      </c>
      <c r="O179" t="b">
        <v>0</v>
      </c>
      <c r="S179" t="s">
        <v>137</v>
      </c>
      <c r="U179" s="9">
        <f>F179*$AA$2/1000</f>
        <v>6.5611052072263548E-4</v>
      </c>
      <c r="V179" s="9">
        <f t="shared" si="7"/>
        <v>0.65611052072263543</v>
      </c>
    </row>
    <row r="180" spans="1:22" x14ac:dyDescent="0.45">
      <c r="A180" t="s">
        <v>71</v>
      </c>
      <c r="B180" t="s">
        <v>73</v>
      </c>
      <c r="C180" t="s">
        <v>47</v>
      </c>
      <c r="E180" t="e">
        <v>#N/A</v>
      </c>
      <c r="F180" s="2">
        <v>15.9</v>
      </c>
      <c r="G180">
        <v>3.04</v>
      </c>
      <c r="H180" t="s">
        <v>93</v>
      </c>
      <c r="I180">
        <v>226827</v>
      </c>
      <c r="K180" t="s">
        <v>19</v>
      </c>
      <c r="L180" t="s">
        <v>94</v>
      </c>
      <c r="M180" s="1">
        <v>3.3700000000000001E-2</v>
      </c>
      <c r="N180" s="2">
        <v>7.1300000000000002E-2</v>
      </c>
      <c r="O180" t="b">
        <v>0</v>
      </c>
      <c r="U180" s="2">
        <f>F180*$AA$3/1000</f>
        <v>2.6284094934466932E-3</v>
      </c>
      <c r="V180" s="2">
        <f t="shared" si="7"/>
        <v>2.6284094934466933</v>
      </c>
    </row>
    <row r="181" spans="1:22" x14ac:dyDescent="0.45">
      <c r="A181" t="s">
        <v>71</v>
      </c>
      <c r="B181" t="s">
        <v>74</v>
      </c>
      <c r="C181" t="s">
        <v>47</v>
      </c>
      <c r="E181" t="e">
        <v>#N/A</v>
      </c>
      <c r="F181" s="2">
        <v>17.399999999999999</v>
      </c>
      <c r="G181">
        <v>3</v>
      </c>
      <c r="H181" t="s">
        <v>93</v>
      </c>
      <c r="I181">
        <v>249274</v>
      </c>
      <c r="K181" t="s">
        <v>19</v>
      </c>
      <c r="L181" t="s">
        <v>94</v>
      </c>
      <c r="M181" s="1">
        <v>4.7199999999999999E-2</v>
      </c>
      <c r="N181" s="2">
        <v>7.8200000000000006E-2</v>
      </c>
      <c r="O181" t="b">
        <v>0</v>
      </c>
      <c r="U181" s="2">
        <f>F181*$AA$4/1000</f>
        <v>2.8558271342543394E-3</v>
      </c>
      <c r="V181" s="2">
        <f t="shared" si="7"/>
        <v>2.8558271342543393</v>
      </c>
    </row>
    <row r="182" spans="1:22" x14ac:dyDescent="0.45">
      <c r="A182" t="s">
        <v>37</v>
      </c>
      <c r="B182" t="s">
        <v>75</v>
      </c>
      <c r="C182" t="s">
        <v>47</v>
      </c>
      <c r="E182" t="e">
        <v>#N/A</v>
      </c>
      <c r="F182" s="2">
        <v>34.299999999999997</v>
      </c>
      <c r="G182">
        <v>3</v>
      </c>
      <c r="H182" t="s">
        <v>93</v>
      </c>
      <c r="I182">
        <v>943504</v>
      </c>
      <c r="K182" t="s">
        <v>19</v>
      </c>
      <c r="L182" t="s">
        <v>94</v>
      </c>
      <c r="M182" s="1">
        <v>8.9999999999999993E-3</v>
      </c>
      <c r="N182" s="2">
        <v>0.155</v>
      </c>
      <c r="O182" t="b">
        <v>0</v>
      </c>
    </row>
    <row r="183" spans="1:22" x14ac:dyDescent="0.45">
      <c r="A183" t="s">
        <v>37</v>
      </c>
      <c r="B183" t="s">
        <v>76</v>
      </c>
      <c r="C183" t="s">
        <v>47</v>
      </c>
      <c r="E183" t="e">
        <v>#N/A</v>
      </c>
      <c r="F183" s="2">
        <v>29.1</v>
      </c>
      <c r="G183">
        <v>3</v>
      </c>
      <c r="H183" t="s">
        <v>93</v>
      </c>
      <c r="I183">
        <v>649774</v>
      </c>
      <c r="K183" t="s">
        <v>19</v>
      </c>
      <c r="L183" t="s">
        <v>94</v>
      </c>
      <c r="M183" s="1">
        <v>3.2000000000000002E-3</v>
      </c>
      <c r="N183" s="2">
        <v>0.13100000000000001</v>
      </c>
      <c r="O183" t="b">
        <v>0</v>
      </c>
    </row>
    <row r="184" spans="1:22" x14ac:dyDescent="0.45">
      <c r="A184" t="s">
        <v>37</v>
      </c>
      <c r="B184" t="s">
        <v>77</v>
      </c>
      <c r="C184" t="s">
        <v>47</v>
      </c>
      <c r="E184" t="e">
        <v>#N/A</v>
      </c>
      <c r="F184" s="2">
        <v>30.1</v>
      </c>
      <c r="G184">
        <v>3</v>
      </c>
      <c r="H184" t="s">
        <v>93</v>
      </c>
      <c r="I184">
        <v>667169</v>
      </c>
      <c r="K184" t="s">
        <v>19</v>
      </c>
      <c r="L184" t="s">
        <v>94</v>
      </c>
      <c r="M184" s="1">
        <v>7.0000000000000001E-3</v>
      </c>
      <c r="N184" s="2">
        <v>0.13600000000000001</v>
      </c>
      <c r="O184" t="b">
        <v>0</v>
      </c>
    </row>
    <row r="185" spans="1:22" x14ac:dyDescent="0.45">
      <c r="A185" t="s">
        <v>37</v>
      </c>
      <c r="B185" t="s">
        <v>78</v>
      </c>
      <c r="C185" t="s">
        <v>47</v>
      </c>
      <c r="E185" t="e">
        <v>#N/A</v>
      </c>
      <c r="F185">
        <v>0</v>
      </c>
      <c r="G185" t="e">
        <v>#N/A</v>
      </c>
      <c r="H185" t="s">
        <v>93</v>
      </c>
      <c r="I185">
        <v>0</v>
      </c>
      <c r="K185" t="s">
        <v>19</v>
      </c>
      <c r="L185" t="s">
        <v>94</v>
      </c>
      <c r="M185" t="e">
        <v>#N/A</v>
      </c>
      <c r="N185">
        <v>0</v>
      </c>
      <c r="O185" t="b">
        <v>0</v>
      </c>
    </row>
    <row r="186" spans="1:22" x14ac:dyDescent="0.45">
      <c r="A186" t="s">
        <v>37</v>
      </c>
      <c r="B186" t="s">
        <v>79</v>
      </c>
      <c r="C186" t="s">
        <v>47</v>
      </c>
      <c r="E186" t="e">
        <v>#N/A</v>
      </c>
      <c r="F186">
        <v>0</v>
      </c>
      <c r="G186" t="e">
        <v>#N/A</v>
      </c>
      <c r="H186" t="s">
        <v>93</v>
      </c>
      <c r="I186">
        <v>0</v>
      </c>
      <c r="K186" t="s">
        <v>19</v>
      </c>
      <c r="L186" t="s">
        <v>94</v>
      </c>
      <c r="M186" t="e">
        <v>#N/A</v>
      </c>
      <c r="N186">
        <v>0</v>
      </c>
      <c r="O186" t="b">
        <v>0</v>
      </c>
    </row>
    <row r="187" spans="1:22" x14ac:dyDescent="0.45">
      <c r="A187" t="s">
        <v>37</v>
      </c>
      <c r="B187" t="s">
        <v>80</v>
      </c>
      <c r="C187" t="s">
        <v>47</v>
      </c>
      <c r="E187" t="e">
        <v>#N/A</v>
      </c>
      <c r="F187">
        <v>0</v>
      </c>
      <c r="G187" t="e">
        <v>#N/A</v>
      </c>
      <c r="H187" t="s">
        <v>93</v>
      </c>
      <c r="I187">
        <v>0</v>
      </c>
      <c r="K187" t="s">
        <v>19</v>
      </c>
      <c r="L187" t="s">
        <v>94</v>
      </c>
      <c r="M187" t="e">
        <v>#N/A</v>
      </c>
      <c r="N187">
        <v>0</v>
      </c>
      <c r="O187" t="b">
        <v>0</v>
      </c>
    </row>
    <row r="188" spans="1:22" x14ac:dyDescent="0.45">
      <c r="A188" t="s">
        <v>37</v>
      </c>
      <c r="B188" t="s">
        <v>81</v>
      </c>
      <c r="C188" t="s">
        <v>47</v>
      </c>
      <c r="E188" t="e">
        <v>#N/A</v>
      </c>
      <c r="F188">
        <v>0</v>
      </c>
      <c r="G188" t="e">
        <v>#N/A</v>
      </c>
      <c r="H188" t="s">
        <v>93</v>
      </c>
      <c r="I188">
        <v>0</v>
      </c>
      <c r="K188" t="s">
        <v>19</v>
      </c>
      <c r="L188" t="s">
        <v>94</v>
      </c>
      <c r="M188" t="e">
        <v>#N/A</v>
      </c>
      <c r="N188">
        <v>0</v>
      </c>
      <c r="O188" t="b">
        <v>0</v>
      </c>
    </row>
    <row r="189" spans="1:22" x14ac:dyDescent="0.45">
      <c r="A189" t="s">
        <v>37</v>
      </c>
      <c r="B189" t="s">
        <v>82</v>
      </c>
      <c r="C189" t="s">
        <v>47</v>
      </c>
      <c r="E189" t="e">
        <v>#N/A</v>
      </c>
      <c r="F189">
        <v>0</v>
      </c>
      <c r="G189" t="e">
        <v>#N/A</v>
      </c>
      <c r="H189" t="s">
        <v>93</v>
      </c>
      <c r="I189">
        <v>0</v>
      </c>
      <c r="K189" t="s">
        <v>19</v>
      </c>
      <c r="L189" t="s">
        <v>94</v>
      </c>
      <c r="M189" t="e">
        <v>#N/A</v>
      </c>
      <c r="N189">
        <v>0</v>
      </c>
      <c r="O189" t="b">
        <v>0</v>
      </c>
    </row>
    <row r="190" spans="1:22" x14ac:dyDescent="0.45">
      <c r="A190" t="s">
        <v>37</v>
      </c>
      <c r="B190" t="s">
        <v>83</v>
      </c>
      <c r="C190" t="s">
        <v>47</v>
      </c>
      <c r="E190" t="e">
        <v>#N/A</v>
      </c>
      <c r="F190">
        <v>0</v>
      </c>
      <c r="G190" t="e">
        <v>#N/A</v>
      </c>
      <c r="H190" t="s">
        <v>93</v>
      </c>
      <c r="I190">
        <v>0</v>
      </c>
      <c r="K190" t="s">
        <v>19</v>
      </c>
      <c r="L190" t="s">
        <v>94</v>
      </c>
      <c r="M190" t="e">
        <v>#N/A</v>
      </c>
      <c r="N190">
        <v>0</v>
      </c>
      <c r="O190" t="b">
        <v>0</v>
      </c>
    </row>
    <row r="191" spans="1:22" x14ac:dyDescent="0.45">
      <c r="A191" t="s">
        <v>37</v>
      </c>
      <c r="B191" t="s">
        <v>84</v>
      </c>
      <c r="C191" t="s">
        <v>47</v>
      </c>
      <c r="E191" t="e">
        <v>#N/A</v>
      </c>
      <c r="F191">
        <v>0</v>
      </c>
      <c r="G191" t="e">
        <v>#N/A</v>
      </c>
      <c r="H191" t="s">
        <v>93</v>
      </c>
      <c r="I191">
        <v>0</v>
      </c>
      <c r="K191" t="s">
        <v>19</v>
      </c>
      <c r="L191" t="s">
        <v>94</v>
      </c>
      <c r="M191" t="e">
        <v>#N/A</v>
      </c>
      <c r="N191">
        <v>0</v>
      </c>
      <c r="O191" t="b">
        <v>0</v>
      </c>
    </row>
    <row r="192" spans="1:22" x14ac:dyDescent="0.45">
      <c r="A192" t="s">
        <v>37</v>
      </c>
      <c r="B192" t="s">
        <v>86</v>
      </c>
      <c r="C192" t="s">
        <v>47</v>
      </c>
      <c r="E192" t="e">
        <v>#N/A</v>
      </c>
      <c r="F192">
        <v>0</v>
      </c>
      <c r="G192" t="e">
        <v>#N/A</v>
      </c>
      <c r="H192" t="s">
        <v>93</v>
      </c>
      <c r="I192">
        <v>0</v>
      </c>
      <c r="K192" t="s">
        <v>19</v>
      </c>
      <c r="L192" t="s">
        <v>94</v>
      </c>
      <c r="M192" t="e">
        <v>#N/A</v>
      </c>
      <c r="N192">
        <v>0</v>
      </c>
      <c r="O192" t="b">
        <v>0</v>
      </c>
    </row>
    <row r="193" spans="1:22" x14ac:dyDescent="0.45">
      <c r="A193" t="s">
        <v>37</v>
      </c>
      <c r="B193" t="s">
        <v>87</v>
      </c>
      <c r="C193" t="s">
        <v>47</v>
      </c>
      <c r="E193" t="e">
        <v>#N/A</v>
      </c>
      <c r="F193">
        <v>0</v>
      </c>
      <c r="G193">
        <v>11.99</v>
      </c>
      <c r="H193" t="s">
        <v>93</v>
      </c>
      <c r="I193">
        <v>2486</v>
      </c>
      <c r="K193" t="s">
        <v>19</v>
      </c>
      <c r="L193" t="s">
        <v>94</v>
      </c>
      <c r="M193" t="s">
        <v>85</v>
      </c>
      <c r="N193">
        <v>0</v>
      </c>
      <c r="O193" t="b">
        <v>0</v>
      </c>
    </row>
    <row r="194" spans="1:22" x14ac:dyDescent="0.45">
      <c r="A194" t="s">
        <v>15</v>
      </c>
      <c r="B194" t="s">
        <v>16</v>
      </c>
      <c r="C194" t="s">
        <v>17</v>
      </c>
      <c r="D194">
        <v>0.1</v>
      </c>
      <c r="E194" s="1">
        <v>26.613</v>
      </c>
      <c r="F194" s="2">
        <v>2.66</v>
      </c>
      <c r="G194">
        <v>3.17</v>
      </c>
      <c r="H194" t="s">
        <v>95</v>
      </c>
      <c r="I194">
        <v>13969</v>
      </c>
      <c r="K194" t="s">
        <v>19</v>
      </c>
      <c r="L194" t="s">
        <v>96</v>
      </c>
      <c r="M194" s="1">
        <v>3.3999999999999998E-3</v>
      </c>
      <c r="N194" s="2">
        <v>3.4199999999999999E-3</v>
      </c>
      <c r="O194" t="b">
        <v>1</v>
      </c>
    </row>
    <row r="195" spans="1:22" x14ac:dyDescent="0.45">
      <c r="A195" t="s">
        <v>21</v>
      </c>
      <c r="B195" t="s">
        <v>22</v>
      </c>
      <c r="C195" t="s">
        <v>17</v>
      </c>
      <c r="D195">
        <v>0.51</v>
      </c>
      <c r="E195" s="1">
        <v>5.6959999999999997</v>
      </c>
      <c r="F195" s="2">
        <v>2.91</v>
      </c>
      <c r="G195">
        <v>3.17</v>
      </c>
      <c r="H195" t="s">
        <v>95</v>
      </c>
      <c r="I195">
        <v>57276</v>
      </c>
      <c r="K195" t="s">
        <v>19</v>
      </c>
      <c r="L195" t="s">
        <v>96</v>
      </c>
      <c r="M195" s="1">
        <v>1.26E-2</v>
      </c>
      <c r="N195" s="2">
        <v>1.5100000000000001E-2</v>
      </c>
      <c r="O195" t="b">
        <v>1</v>
      </c>
    </row>
    <row r="196" spans="1:22" x14ac:dyDescent="0.45">
      <c r="A196" t="s">
        <v>23</v>
      </c>
      <c r="B196" t="s">
        <v>24</v>
      </c>
      <c r="C196" t="s">
        <v>17</v>
      </c>
      <c r="D196">
        <v>1</v>
      </c>
      <c r="E196" s="1">
        <v>3.2480000000000002</v>
      </c>
      <c r="F196" s="2">
        <v>3.25</v>
      </c>
      <c r="G196">
        <v>3.17</v>
      </c>
      <c r="H196" t="s">
        <v>95</v>
      </c>
      <c r="I196">
        <v>126343</v>
      </c>
      <c r="K196" t="s">
        <v>19</v>
      </c>
      <c r="L196" t="s">
        <v>96</v>
      </c>
      <c r="M196" s="1">
        <v>2.2200000000000001E-2</v>
      </c>
      <c r="N196" s="2">
        <v>3.1399999999999997E-2</v>
      </c>
      <c r="O196" t="b">
        <v>1</v>
      </c>
    </row>
    <row r="197" spans="1:22" x14ac:dyDescent="0.45">
      <c r="A197" t="s">
        <v>25</v>
      </c>
      <c r="B197" t="s">
        <v>26</v>
      </c>
      <c r="C197" t="s">
        <v>17</v>
      </c>
      <c r="D197">
        <v>2.56</v>
      </c>
      <c r="E197" s="1">
        <v>1.2509999999999999</v>
      </c>
      <c r="F197" s="2">
        <v>3.2</v>
      </c>
      <c r="G197">
        <v>3.21</v>
      </c>
      <c r="H197" t="s">
        <v>95</v>
      </c>
      <c r="I197">
        <v>138849</v>
      </c>
      <c r="K197" t="s">
        <v>19</v>
      </c>
      <c r="L197" t="s">
        <v>96</v>
      </c>
      <c r="M197" s="1">
        <v>1.6500000000000001E-2</v>
      </c>
      <c r="N197" s="2">
        <v>2.93E-2</v>
      </c>
      <c r="O197" t="b">
        <v>0</v>
      </c>
    </row>
    <row r="198" spans="1:22" x14ac:dyDescent="0.45">
      <c r="A198" t="s">
        <v>27</v>
      </c>
      <c r="B198" t="s">
        <v>28</v>
      </c>
      <c r="C198" t="s">
        <v>17</v>
      </c>
      <c r="D198">
        <v>5</v>
      </c>
      <c r="E198" s="3">
        <v>1.1299999999999999</v>
      </c>
      <c r="F198" s="2">
        <v>5.65</v>
      </c>
      <c r="G198">
        <v>3.17</v>
      </c>
      <c r="H198" t="s">
        <v>95</v>
      </c>
      <c r="I198">
        <v>611438</v>
      </c>
      <c r="K198" t="s">
        <v>19</v>
      </c>
      <c r="L198" t="s">
        <v>96</v>
      </c>
      <c r="M198" s="1">
        <v>4.5600000000000002E-2</v>
      </c>
      <c r="N198" s="2">
        <v>0.14599999999999999</v>
      </c>
      <c r="O198" t="b">
        <v>0</v>
      </c>
    </row>
    <row r="199" spans="1:22" x14ac:dyDescent="0.45">
      <c r="A199" t="s">
        <v>29</v>
      </c>
      <c r="B199" t="s">
        <v>30</v>
      </c>
      <c r="C199" t="s">
        <v>17</v>
      </c>
      <c r="D199">
        <v>10.16</v>
      </c>
      <c r="E199" s="1">
        <v>0.63200000000000001</v>
      </c>
      <c r="F199" s="2">
        <v>6.43</v>
      </c>
      <c r="G199">
        <v>3.21</v>
      </c>
      <c r="H199" t="s">
        <v>95</v>
      </c>
      <c r="I199">
        <v>843907</v>
      </c>
      <c r="K199" t="s">
        <v>19</v>
      </c>
      <c r="L199" t="s">
        <v>96</v>
      </c>
      <c r="M199" s="1">
        <v>3.7900000000000003E-2</v>
      </c>
      <c r="N199" s="2">
        <v>0.183</v>
      </c>
      <c r="O199" t="b">
        <v>0</v>
      </c>
    </row>
    <row r="200" spans="1:22" x14ac:dyDescent="0.45">
      <c r="A200" t="s">
        <v>31</v>
      </c>
      <c r="B200" t="s">
        <v>32</v>
      </c>
      <c r="C200" t="s">
        <v>17</v>
      </c>
      <c r="D200">
        <v>25.3</v>
      </c>
      <c r="E200" s="1">
        <v>0.878</v>
      </c>
      <c r="F200" s="2">
        <v>22.2</v>
      </c>
      <c r="G200">
        <v>3.17</v>
      </c>
      <c r="H200" t="s">
        <v>95</v>
      </c>
      <c r="I200">
        <v>3812273</v>
      </c>
      <c r="K200" t="s">
        <v>19</v>
      </c>
      <c r="L200" t="s">
        <v>96</v>
      </c>
      <c r="M200" s="1">
        <v>7.5200000000000003E-2</v>
      </c>
      <c r="N200" s="2">
        <v>0.93799999999999994</v>
      </c>
      <c r="O200" t="b">
        <v>0</v>
      </c>
    </row>
    <row r="201" spans="1:22" x14ac:dyDescent="0.45">
      <c r="A201" t="s">
        <v>33</v>
      </c>
      <c r="B201" t="s">
        <v>34</v>
      </c>
      <c r="C201" t="s">
        <v>17</v>
      </c>
      <c r="D201">
        <v>51.13</v>
      </c>
      <c r="E201" s="1">
        <v>1.1080000000000001</v>
      </c>
      <c r="F201" s="2">
        <v>56.6</v>
      </c>
      <c r="G201">
        <v>3.17</v>
      </c>
      <c r="H201" t="s">
        <v>95</v>
      </c>
      <c r="I201">
        <v>10872577</v>
      </c>
      <c r="K201" t="s">
        <v>19</v>
      </c>
      <c r="L201" t="s">
        <v>96</v>
      </c>
      <c r="M201" s="1">
        <v>0.12759999999999999</v>
      </c>
      <c r="N201" s="2">
        <v>2.58</v>
      </c>
      <c r="O201" t="b">
        <v>0</v>
      </c>
    </row>
    <row r="202" spans="1:22" x14ac:dyDescent="0.45">
      <c r="A202" t="s">
        <v>35</v>
      </c>
      <c r="B202" t="s">
        <v>36</v>
      </c>
      <c r="C202" t="s">
        <v>17</v>
      </c>
      <c r="D202">
        <v>105.4</v>
      </c>
      <c r="E202" s="1">
        <v>0.155</v>
      </c>
      <c r="F202" s="2">
        <v>16.3</v>
      </c>
      <c r="G202">
        <v>3.25</v>
      </c>
      <c r="H202" t="s">
        <v>95</v>
      </c>
      <c r="I202">
        <v>2916312</v>
      </c>
      <c r="K202" t="s">
        <v>19</v>
      </c>
      <c r="L202" t="s">
        <v>96</v>
      </c>
      <c r="M202" s="1">
        <v>1.49E-2</v>
      </c>
      <c r="N202" s="2">
        <v>0.65600000000000003</v>
      </c>
      <c r="O202" t="b">
        <v>1</v>
      </c>
    </row>
    <row r="203" spans="1:22" x14ac:dyDescent="0.45">
      <c r="A203" t="s">
        <v>37</v>
      </c>
      <c r="B203" t="s">
        <v>38</v>
      </c>
      <c r="C203" t="s">
        <v>17</v>
      </c>
      <c r="D203">
        <v>260.25</v>
      </c>
      <c r="E203" s="1">
        <v>0.48199999999999998</v>
      </c>
      <c r="F203" s="2">
        <v>125</v>
      </c>
      <c r="G203">
        <v>3.21</v>
      </c>
      <c r="H203" t="s">
        <v>95</v>
      </c>
      <c r="I203">
        <v>26402020</v>
      </c>
      <c r="K203" t="s">
        <v>19</v>
      </c>
      <c r="L203" t="s">
        <v>96</v>
      </c>
      <c r="M203" s="1">
        <v>0.1205</v>
      </c>
      <c r="N203" s="2">
        <v>5.87</v>
      </c>
      <c r="O203" t="b">
        <v>1</v>
      </c>
    </row>
    <row r="204" spans="1:22" x14ac:dyDescent="0.45">
      <c r="A204" t="s">
        <v>37</v>
      </c>
      <c r="B204" t="s">
        <v>39</v>
      </c>
      <c r="C204" t="s">
        <v>17</v>
      </c>
      <c r="D204">
        <v>523.48</v>
      </c>
      <c r="E204" s="3">
        <v>2.2599999999999998</v>
      </c>
      <c r="F204" s="2">
        <v>1180</v>
      </c>
      <c r="G204">
        <v>3.17</v>
      </c>
      <c r="H204" t="s">
        <v>95</v>
      </c>
      <c r="I204">
        <v>219957008</v>
      </c>
      <c r="K204" t="s">
        <v>19</v>
      </c>
      <c r="L204" t="s">
        <v>96</v>
      </c>
      <c r="M204" s="1">
        <v>0.1484</v>
      </c>
      <c r="N204" s="2">
        <v>56.4</v>
      </c>
      <c r="O204" t="b">
        <v>1</v>
      </c>
    </row>
    <row r="205" spans="1:22" x14ac:dyDescent="0.45">
      <c r="A205" t="s">
        <v>40</v>
      </c>
      <c r="B205" t="s">
        <v>41</v>
      </c>
      <c r="C205" t="s">
        <v>42</v>
      </c>
      <c r="E205" t="e">
        <v>#N/A</v>
      </c>
      <c r="F205">
        <v>0</v>
      </c>
      <c r="G205" t="e">
        <v>#N/A</v>
      </c>
      <c r="H205" t="s">
        <v>95</v>
      </c>
      <c r="I205">
        <v>0</v>
      </c>
      <c r="K205" t="s">
        <v>19</v>
      </c>
      <c r="L205" t="s">
        <v>96</v>
      </c>
      <c r="M205" t="e">
        <v>#N/A</v>
      </c>
      <c r="N205">
        <v>0</v>
      </c>
      <c r="O205" t="b">
        <v>0</v>
      </c>
    </row>
    <row r="206" spans="1:22" x14ac:dyDescent="0.45">
      <c r="A206" t="s">
        <v>40</v>
      </c>
      <c r="B206" t="s">
        <v>43</v>
      </c>
      <c r="C206" t="s">
        <v>42</v>
      </c>
      <c r="E206" t="e">
        <v>#N/A</v>
      </c>
      <c r="F206">
        <v>0</v>
      </c>
      <c r="G206" t="e">
        <v>#N/A</v>
      </c>
      <c r="H206" t="s">
        <v>95</v>
      </c>
      <c r="I206">
        <v>0</v>
      </c>
      <c r="K206" t="s">
        <v>19</v>
      </c>
      <c r="L206" t="s">
        <v>96</v>
      </c>
      <c r="M206" t="e">
        <v>#N/A</v>
      </c>
      <c r="N206">
        <v>0</v>
      </c>
      <c r="O206" t="b">
        <v>0</v>
      </c>
    </row>
    <row r="207" spans="1:22" x14ac:dyDescent="0.45">
      <c r="A207" t="s">
        <v>40</v>
      </c>
      <c r="B207" t="s">
        <v>44</v>
      </c>
      <c r="C207" t="s">
        <v>42</v>
      </c>
      <c r="E207" t="e">
        <v>#N/A</v>
      </c>
      <c r="F207">
        <v>0</v>
      </c>
      <c r="G207" t="e">
        <v>#N/A</v>
      </c>
      <c r="H207" t="s">
        <v>95</v>
      </c>
      <c r="I207">
        <v>0</v>
      </c>
      <c r="K207" t="s">
        <v>19</v>
      </c>
      <c r="L207" t="s">
        <v>96</v>
      </c>
      <c r="M207" t="e">
        <v>#N/A</v>
      </c>
      <c r="N207">
        <v>0</v>
      </c>
      <c r="O207" t="b">
        <v>0</v>
      </c>
    </row>
    <row r="208" spans="1:22" x14ac:dyDescent="0.45">
      <c r="A208" t="s">
        <v>45</v>
      </c>
      <c r="B208" t="s">
        <v>46</v>
      </c>
      <c r="C208" t="s">
        <v>47</v>
      </c>
      <c r="E208" t="e">
        <v>#N/A</v>
      </c>
      <c r="F208" s="2">
        <v>2.6</v>
      </c>
      <c r="G208">
        <v>3.17</v>
      </c>
      <c r="H208" t="s">
        <v>95</v>
      </c>
      <c r="I208">
        <v>2589</v>
      </c>
      <c r="K208" t="s">
        <v>19</v>
      </c>
      <c r="L208" t="s">
        <v>96</v>
      </c>
      <c r="M208" s="1">
        <v>4.0000000000000002E-4</v>
      </c>
      <c r="N208" s="2">
        <v>3.7399999999999998E-4</v>
      </c>
      <c r="O208" t="b">
        <v>0</v>
      </c>
      <c r="P208" t="s">
        <v>138</v>
      </c>
      <c r="S208" t="s">
        <v>137</v>
      </c>
      <c r="U208" s="2">
        <f>F208*$AA$17/1000</f>
        <v>4.2059275002951946E-4</v>
      </c>
      <c r="V208" s="2">
        <f t="shared" ref="V208:V210" si="8">U208*1000</f>
        <v>0.42059275002951946</v>
      </c>
    </row>
    <row r="209" spans="1:22" x14ac:dyDescent="0.45">
      <c r="A209" t="s">
        <v>45</v>
      </c>
      <c r="B209" t="s">
        <v>48</v>
      </c>
      <c r="C209" t="s">
        <v>47</v>
      </c>
      <c r="E209" t="e">
        <v>#N/A</v>
      </c>
      <c r="F209" s="2">
        <v>2.6</v>
      </c>
      <c r="G209">
        <v>0.32</v>
      </c>
      <c r="H209" t="s">
        <v>95</v>
      </c>
      <c r="I209">
        <v>2600</v>
      </c>
      <c r="K209" t="s">
        <v>19</v>
      </c>
      <c r="L209" t="s">
        <v>96</v>
      </c>
      <c r="M209" s="1">
        <v>4.0000000000000002E-4</v>
      </c>
      <c r="N209" s="2">
        <v>3.9599999999999998E-4</v>
      </c>
      <c r="O209" t="b">
        <v>0</v>
      </c>
      <c r="P209" t="s">
        <v>138</v>
      </c>
      <c r="S209" t="s">
        <v>137</v>
      </c>
      <c r="U209" s="2">
        <f>F209*$AA$18/1000</f>
        <v>4.574329909080175E-4</v>
      </c>
      <c r="V209" s="2">
        <f t="shared" si="8"/>
        <v>0.45743299090801748</v>
      </c>
    </row>
    <row r="210" spans="1:22" x14ac:dyDescent="0.45">
      <c r="A210" t="s">
        <v>45</v>
      </c>
      <c r="B210" t="s">
        <v>49</v>
      </c>
      <c r="C210" t="s">
        <v>47</v>
      </c>
      <c r="E210" t="e">
        <v>#N/A</v>
      </c>
      <c r="F210" s="2">
        <v>2.59</v>
      </c>
      <c r="G210">
        <v>8.09</v>
      </c>
      <c r="H210" t="s">
        <v>95</v>
      </c>
      <c r="I210">
        <v>0</v>
      </c>
      <c r="K210" t="s">
        <v>19</v>
      </c>
      <c r="L210" t="s">
        <v>96</v>
      </c>
      <c r="M210" s="3">
        <v>0</v>
      </c>
      <c r="N210" s="2">
        <v>0</v>
      </c>
      <c r="O210" t="b">
        <v>0</v>
      </c>
      <c r="P210" t="s">
        <v>138</v>
      </c>
      <c r="S210" t="s">
        <v>137</v>
      </c>
      <c r="U210" s="2">
        <f>F210*$AA$19/1000</f>
        <v>4.6179005785807061E-4</v>
      </c>
      <c r="V210" s="2">
        <f t="shared" si="8"/>
        <v>0.46179005785807059</v>
      </c>
    </row>
    <row r="211" spans="1:22" x14ac:dyDescent="0.45">
      <c r="A211" t="s">
        <v>50</v>
      </c>
      <c r="B211" t="s">
        <v>51</v>
      </c>
      <c r="C211" t="s">
        <v>47</v>
      </c>
      <c r="E211" t="e">
        <v>#N/A</v>
      </c>
      <c r="F211">
        <v>0</v>
      </c>
      <c r="G211" t="e">
        <v>#N/A</v>
      </c>
      <c r="H211" t="s">
        <v>95</v>
      </c>
      <c r="I211">
        <v>0</v>
      </c>
      <c r="K211" t="s">
        <v>19</v>
      </c>
      <c r="L211" t="s">
        <v>96</v>
      </c>
      <c r="M211" t="e">
        <v>#N/A</v>
      </c>
      <c r="N211">
        <v>0</v>
      </c>
      <c r="O211" t="b">
        <v>0</v>
      </c>
      <c r="P211" t="s">
        <v>139</v>
      </c>
      <c r="S211" t="s">
        <v>137</v>
      </c>
      <c r="U211" s="2">
        <f>F211*$AA$11/1000</f>
        <v>0</v>
      </c>
      <c r="V211" s="2">
        <f>U211*1000</f>
        <v>0</v>
      </c>
    </row>
    <row r="212" spans="1:22" x14ac:dyDescent="0.45">
      <c r="A212" t="s">
        <v>50</v>
      </c>
      <c r="B212" t="s">
        <v>52</v>
      </c>
      <c r="C212" t="s">
        <v>47</v>
      </c>
      <c r="E212" t="e">
        <v>#N/A</v>
      </c>
      <c r="F212" s="2">
        <v>2.6</v>
      </c>
      <c r="G212">
        <v>3.33</v>
      </c>
      <c r="H212" t="s">
        <v>95</v>
      </c>
      <c r="I212">
        <v>2499</v>
      </c>
      <c r="K212" t="s">
        <v>19</v>
      </c>
      <c r="L212" t="s">
        <v>96</v>
      </c>
      <c r="M212" s="1">
        <v>4.0000000000000002E-4</v>
      </c>
      <c r="N212" s="2">
        <v>4.28E-4</v>
      </c>
      <c r="O212" t="b">
        <v>0</v>
      </c>
      <c r="P212" t="s">
        <v>139</v>
      </c>
      <c r="S212" t="s">
        <v>137</v>
      </c>
      <c r="U212" s="2">
        <f>F212*$AA$12/1000</f>
        <v>4.6050301098122566E-4</v>
      </c>
      <c r="V212" s="2">
        <f t="shared" ref="V212:V229" si="9">U212*1000</f>
        <v>0.46050301098122565</v>
      </c>
    </row>
    <row r="213" spans="1:22" x14ac:dyDescent="0.45">
      <c r="A213" t="s">
        <v>50</v>
      </c>
      <c r="B213" t="s">
        <v>53</v>
      </c>
      <c r="C213" t="s">
        <v>47</v>
      </c>
      <c r="E213" t="e">
        <v>#N/A</v>
      </c>
      <c r="F213">
        <v>0</v>
      </c>
      <c r="G213" t="e">
        <v>#N/A</v>
      </c>
      <c r="H213" t="s">
        <v>95</v>
      </c>
      <c r="I213">
        <v>0</v>
      </c>
      <c r="K213" t="s">
        <v>19</v>
      </c>
      <c r="L213" t="s">
        <v>96</v>
      </c>
      <c r="M213" t="e">
        <v>#N/A</v>
      </c>
      <c r="N213">
        <v>0</v>
      </c>
      <c r="O213" t="b">
        <v>0</v>
      </c>
      <c r="P213" t="s">
        <v>138</v>
      </c>
      <c r="S213" t="s">
        <v>137</v>
      </c>
      <c r="U213" s="2">
        <f>F213*$AA$13/1000</f>
        <v>0</v>
      </c>
      <c r="V213" s="2">
        <f t="shared" si="9"/>
        <v>0</v>
      </c>
    </row>
    <row r="214" spans="1:22" x14ac:dyDescent="0.45">
      <c r="A214" t="s">
        <v>50</v>
      </c>
      <c r="B214" t="s">
        <v>54</v>
      </c>
      <c r="C214" t="s">
        <v>47</v>
      </c>
      <c r="E214" t="e">
        <v>#N/A</v>
      </c>
      <c r="F214" s="2">
        <v>2.64</v>
      </c>
      <c r="G214">
        <v>3.17</v>
      </c>
      <c r="H214" t="s">
        <v>95</v>
      </c>
      <c r="I214">
        <v>8514</v>
      </c>
      <c r="K214" t="s">
        <v>19</v>
      </c>
      <c r="L214" t="s">
        <v>96</v>
      </c>
      <c r="M214" s="1">
        <v>2.2000000000000001E-3</v>
      </c>
      <c r="N214" s="2">
        <v>2.5799999999999998E-3</v>
      </c>
      <c r="O214" t="b">
        <v>0</v>
      </c>
      <c r="P214" t="s">
        <v>138</v>
      </c>
      <c r="S214" t="s">
        <v>137</v>
      </c>
      <c r="U214" s="2">
        <f>F214*$AA$14/1000</f>
        <v>4.6789939780375497E-4</v>
      </c>
      <c r="V214" s="2">
        <f>U214*1000</f>
        <v>0.46789939780375495</v>
      </c>
    </row>
    <row r="215" spans="1:22" x14ac:dyDescent="0.45">
      <c r="A215" t="s">
        <v>50</v>
      </c>
      <c r="B215" t="s">
        <v>55</v>
      </c>
      <c r="C215" t="s">
        <v>47</v>
      </c>
      <c r="E215" t="e">
        <v>#N/A</v>
      </c>
      <c r="F215" s="2">
        <v>2.71</v>
      </c>
      <c r="G215">
        <v>3.17</v>
      </c>
      <c r="H215" t="s">
        <v>95</v>
      </c>
      <c r="I215">
        <v>22116</v>
      </c>
      <c r="K215" t="s">
        <v>19</v>
      </c>
      <c r="L215" t="s">
        <v>96</v>
      </c>
      <c r="M215" s="1">
        <v>5.1000000000000004E-3</v>
      </c>
      <c r="N215" s="2">
        <v>5.6600000000000001E-3</v>
      </c>
      <c r="O215" t="b">
        <v>0</v>
      </c>
      <c r="P215" t="s">
        <v>139</v>
      </c>
      <c r="S215" t="s">
        <v>137</v>
      </c>
      <c r="U215" s="2">
        <f>F215*$AA$15/1000</f>
        <v>4.6398630298736566E-4</v>
      </c>
      <c r="V215" s="2">
        <f t="shared" si="9"/>
        <v>0.46398630298736565</v>
      </c>
    </row>
    <row r="216" spans="1:22" x14ac:dyDescent="0.45">
      <c r="A216" t="s">
        <v>50</v>
      </c>
      <c r="B216" t="s">
        <v>56</v>
      </c>
      <c r="C216" t="s">
        <v>47</v>
      </c>
      <c r="E216" t="e">
        <v>#N/A</v>
      </c>
      <c r="F216" s="2">
        <v>2.64</v>
      </c>
      <c r="G216">
        <v>3.17</v>
      </c>
      <c r="H216" t="s">
        <v>95</v>
      </c>
      <c r="I216">
        <v>6901</v>
      </c>
      <c r="K216" t="s">
        <v>19</v>
      </c>
      <c r="L216" t="s">
        <v>96</v>
      </c>
      <c r="M216" s="1">
        <v>2E-3</v>
      </c>
      <c r="N216" s="2">
        <v>2.2899999999999999E-3</v>
      </c>
      <c r="O216" t="b">
        <v>0</v>
      </c>
      <c r="P216" t="s">
        <v>138</v>
      </c>
      <c r="S216" t="s">
        <v>137</v>
      </c>
      <c r="U216" s="2">
        <f>F216*$AA$16/1000</f>
        <v>4.7070492383988666E-4</v>
      </c>
      <c r="V216" s="2">
        <f t="shared" si="9"/>
        <v>0.47070492383988666</v>
      </c>
    </row>
    <row r="217" spans="1:22" x14ac:dyDescent="0.45">
      <c r="A217" t="s">
        <v>57</v>
      </c>
      <c r="B217" t="s">
        <v>58</v>
      </c>
      <c r="C217" t="s">
        <v>47</v>
      </c>
      <c r="E217" t="e">
        <v>#N/A</v>
      </c>
      <c r="F217" s="2">
        <v>14.8</v>
      </c>
      <c r="G217">
        <v>3.17</v>
      </c>
      <c r="H217" t="s">
        <v>95</v>
      </c>
      <c r="I217">
        <v>2484208</v>
      </c>
      <c r="K217" t="s">
        <v>19</v>
      </c>
      <c r="L217" t="s">
        <v>96</v>
      </c>
      <c r="M217" s="1">
        <v>0.1658</v>
      </c>
      <c r="N217" s="2">
        <v>0.58399999999999996</v>
      </c>
      <c r="O217" t="b">
        <v>0</v>
      </c>
      <c r="S217" t="s">
        <v>137</v>
      </c>
      <c r="U217" s="2">
        <f>F217*$AA$20/1000</f>
        <v>2.6038493328610227E-3</v>
      </c>
      <c r="V217" s="2">
        <f t="shared" si="9"/>
        <v>2.6038493328610226</v>
      </c>
    </row>
    <row r="218" spans="1:22" x14ac:dyDescent="0.45">
      <c r="A218" t="s">
        <v>59</v>
      </c>
      <c r="B218" t="s">
        <v>60</v>
      </c>
      <c r="C218" t="s">
        <v>47</v>
      </c>
      <c r="E218" t="e">
        <v>#N/A</v>
      </c>
      <c r="F218" s="2">
        <v>117</v>
      </c>
      <c r="G218">
        <v>3.17</v>
      </c>
      <c r="H218" t="s">
        <v>95</v>
      </c>
      <c r="I218">
        <v>20444300</v>
      </c>
      <c r="K218" t="s">
        <v>19</v>
      </c>
      <c r="L218" t="s">
        <v>96</v>
      </c>
      <c r="M218" s="1">
        <v>0.20019999999999999</v>
      </c>
      <c r="N218" s="2">
        <v>5.47</v>
      </c>
      <c r="O218" t="b">
        <v>0</v>
      </c>
      <c r="S218" t="s">
        <v>140</v>
      </c>
      <c r="U218" s="2"/>
      <c r="V218" s="2"/>
    </row>
    <row r="219" spans="1:22" x14ac:dyDescent="0.45">
      <c r="A219" t="s">
        <v>61</v>
      </c>
      <c r="B219" t="s">
        <v>62</v>
      </c>
      <c r="C219" t="s">
        <v>47</v>
      </c>
      <c r="E219" t="e">
        <v>#N/A</v>
      </c>
      <c r="F219" s="2">
        <v>7.96</v>
      </c>
      <c r="G219">
        <v>3.17</v>
      </c>
      <c r="H219" t="s">
        <v>95</v>
      </c>
      <c r="I219">
        <v>1236643</v>
      </c>
      <c r="K219" t="s">
        <v>19</v>
      </c>
      <c r="L219" t="s">
        <v>96</v>
      </c>
      <c r="M219" s="1">
        <v>9.3299999999999994E-2</v>
      </c>
      <c r="N219" s="2">
        <v>0.25600000000000001</v>
      </c>
      <c r="O219" t="b">
        <v>0</v>
      </c>
      <c r="P219" t="s">
        <v>138</v>
      </c>
      <c r="S219" t="s">
        <v>137</v>
      </c>
      <c r="T219" s="2">
        <f>F219*$AH$2/$AE$2</f>
        <v>88.739259259259256</v>
      </c>
      <c r="U219" s="2">
        <f>T219*$AA$5/1000</f>
        <v>1.4355034264397826E-2</v>
      </c>
      <c r="V219" s="2">
        <f t="shared" si="9"/>
        <v>14.355034264397826</v>
      </c>
    </row>
    <row r="220" spans="1:22" x14ac:dyDescent="0.45">
      <c r="A220" t="s">
        <v>59</v>
      </c>
      <c r="B220" t="s">
        <v>63</v>
      </c>
      <c r="C220" t="s">
        <v>47</v>
      </c>
      <c r="E220" t="e">
        <v>#N/A</v>
      </c>
      <c r="F220" s="2">
        <v>427</v>
      </c>
      <c r="G220">
        <v>3.17</v>
      </c>
      <c r="H220" t="s">
        <v>95</v>
      </c>
      <c r="I220">
        <v>50013912</v>
      </c>
      <c r="K220" t="s">
        <v>19</v>
      </c>
      <c r="L220" t="s">
        <v>96</v>
      </c>
      <c r="M220" s="1">
        <v>0.39219999999999999</v>
      </c>
      <c r="N220" s="2">
        <v>20.3</v>
      </c>
      <c r="O220" t="b">
        <v>0</v>
      </c>
      <c r="S220" t="s">
        <v>140</v>
      </c>
      <c r="U220" s="2"/>
      <c r="V220" s="2"/>
    </row>
    <row r="221" spans="1:22" x14ac:dyDescent="0.45">
      <c r="A221" t="s">
        <v>61</v>
      </c>
      <c r="B221" t="s">
        <v>64</v>
      </c>
      <c r="C221" t="s">
        <v>47</v>
      </c>
      <c r="E221" t="e">
        <v>#N/A</v>
      </c>
      <c r="F221" s="2">
        <v>17.600000000000001</v>
      </c>
      <c r="G221">
        <v>3.21</v>
      </c>
      <c r="H221" t="s">
        <v>95</v>
      </c>
      <c r="I221">
        <v>3025214</v>
      </c>
      <c r="K221" t="s">
        <v>19</v>
      </c>
      <c r="L221" t="s">
        <v>96</v>
      </c>
      <c r="M221" s="1">
        <v>8.1900000000000001E-2</v>
      </c>
      <c r="N221" s="2">
        <v>0.71899999999999997</v>
      </c>
      <c r="O221" t="b">
        <v>0</v>
      </c>
      <c r="S221" t="s">
        <v>137</v>
      </c>
      <c r="T221" s="2">
        <f>F221*$AH$3/$AE$3</f>
        <v>185.10344827586206</v>
      </c>
      <c r="U221" s="2">
        <f>T221*$AA$6/1000</f>
        <v>3.0599223944527916E-2</v>
      </c>
      <c r="V221" s="2">
        <f t="shared" si="9"/>
        <v>30.599223944527917</v>
      </c>
    </row>
    <row r="222" spans="1:22" x14ac:dyDescent="0.45">
      <c r="A222" t="s">
        <v>59</v>
      </c>
      <c r="B222" t="s">
        <v>65</v>
      </c>
      <c r="C222" t="s">
        <v>47</v>
      </c>
      <c r="E222" t="e">
        <v>#N/A</v>
      </c>
      <c r="F222" s="2">
        <v>305</v>
      </c>
      <c r="G222">
        <v>3.21</v>
      </c>
      <c r="H222" t="s">
        <v>95</v>
      </c>
      <c r="I222">
        <v>44178548</v>
      </c>
      <c r="K222" t="s">
        <v>19</v>
      </c>
      <c r="L222" t="s">
        <v>96</v>
      </c>
      <c r="M222" s="1">
        <v>0.43419999999999997</v>
      </c>
      <c r="N222" s="2">
        <v>14.4</v>
      </c>
      <c r="O222" t="b">
        <v>0</v>
      </c>
      <c r="S222" t="s">
        <v>140</v>
      </c>
      <c r="U222" s="2"/>
      <c r="V222" s="2"/>
    </row>
    <row r="223" spans="1:22" x14ac:dyDescent="0.45">
      <c r="A223" t="s">
        <v>61</v>
      </c>
      <c r="B223" t="s">
        <v>66</v>
      </c>
      <c r="C223" t="s">
        <v>47</v>
      </c>
      <c r="E223" t="e">
        <v>#N/A</v>
      </c>
      <c r="F223" s="2">
        <v>15.9</v>
      </c>
      <c r="G223">
        <v>3.17</v>
      </c>
      <c r="H223" t="s">
        <v>95</v>
      </c>
      <c r="I223">
        <v>2751994</v>
      </c>
      <c r="K223" t="s">
        <v>19</v>
      </c>
      <c r="L223" t="s">
        <v>96</v>
      </c>
      <c r="M223" s="1">
        <v>0.1973</v>
      </c>
      <c r="N223" s="2">
        <v>0.63600000000000001</v>
      </c>
      <c r="O223" t="b">
        <v>0</v>
      </c>
      <c r="S223" t="s">
        <v>137</v>
      </c>
      <c r="T223" s="2">
        <f>F223*$AH$4/$AE$4</f>
        <v>161.92040816326534</v>
      </c>
      <c r="U223" s="2">
        <f>T223*$AA$7/600</f>
        <v>4.3655480612365391E-2</v>
      </c>
      <c r="V223" s="2">
        <f t="shared" si="9"/>
        <v>43.655480612365388</v>
      </c>
    </row>
    <row r="224" spans="1:22" x14ac:dyDescent="0.45">
      <c r="A224" t="s">
        <v>67</v>
      </c>
      <c r="B224" t="s">
        <v>68</v>
      </c>
      <c r="C224" t="s">
        <v>47</v>
      </c>
      <c r="E224" t="e">
        <v>#N/A</v>
      </c>
      <c r="F224" s="2">
        <v>2.7</v>
      </c>
      <c r="G224">
        <v>3.17</v>
      </c>
      <c r="H224" t="s">
        <v>95</v>
      </c>
      <c r="I224">
        <v>28489</v>
      </c>
      <c r="K224" t="s">
        <v>19</v>
      </c>
      <c r="L224" t="s">
        <v>96</v>
      </c>
      <c r="M224" s="1">
        <v>5.0000000000000001E-3</v>
      </c>
      <c r="N224" s="2">
        <v>5.3299999999999997E-3</v>
      </c>
      <c r="O224" t="b">
        <v>0</v>
      </c>
      <c r="P224" t="s">
        <v>138</v>
      </c>
      <c r="S224" t="s">
        <v>137</v>
      </c>
      <c r="U224" s="2">
        <f>F224*$AA$8/1000</f>
        <v>4.622741764080765E-4</v>
      </c>
      <c r="V224" s="2">
        <f t="shared" si="9"/>
        <v>0.4622741764080765</v>
      </c>
    </row>
    <row r="225" spans="1:22" x14ac:dyDescent="0.45">
      <c r="A225" t="s">
        <v>67</v>
      </c>
      <c r="B225" t="s">
        <v>69</v>
      </c>
      <c r="C225" t="s">
        <v>47</v>
      </c>
      <c r="E225" t="e">
        <v>#N/A</v>
      </c>
      <c r="F225">
        <v>0</v>
      </c>
      <c r="G225" t="e">
        <v>#N/A</v>
      </c>
      <c r="H225" t="s">
        <v>95</v>
      </c>
      <c r="I225">
        <v>0</v>
      </c>
      <c r="K225" t="s">
        <v>19</v>
      </c>
      <c r="L225" t="s">
        <v>96</v>
      </c>
      <c r="M225" t="e">
        <v>#N/A</v>
      </c>
      <c r="N225">
        <v>0</v>
      </c>
      <c r="O225" t="b">
        <v>0</v>
      </c>
      <c r="P225" t="s">
        <v>138</v>
      </c>
      <c r="S225" t="s">
        <v>137</v>
      </c>
      <c r="U225" s="2">
        <f>F225*$AA$9/1000</f>
        <v>0</v>
      </c>
      <c r="V225" s="2">
        <f t="shared" si="9"/>
        <v>0</v>
      </c>
    </row>
    <row r="226" spans="1:22" x14ac:dyDescent="0.45">
      <c r="A226" t="s">
        <v>67</v>
      </c>
      <c r="B226" t="s">
        <v>70</v>
      </c>
      <c r="C226" t="s">
        <v>47</v>
      </c>
      <c r="E226" t="e">
        <v>#N/A</v>
      </c>
      <c r="F226" s="2">
        <v>3.83</v>
      </c>
      <c r="G226">
        <v>3.17</v>
      </c>
      <c r="H226" t="s">
        <v>95</v>
      </c>
      <c r="I226">
        <v>215032</v>
      </c>
      <c r="K226" t="s">
        <v>19</v>
      </c>
      <c r="L226" t="s">
        <v>96</v>
      </c>
      <c r="M226" s="1">
        <v>4.7999999999999996E-3</v>
      </c>
      <c r="N226" s="2">
        <v>5.91E-2</v>
      </c>
      <c r="O226" t="b">
        <v>0</v>
      </c>
      <c r="P226" t="s">
        <v>138</v>
      </c>
      <c r="S226" t="s">
        <v>137</v>
      </c>
      <c r="U226" s="2">
        <f>F226*$AA$10/1000</f>
        <v>6.7835635848388241E-4</v>
      </c>
      <c r="V226" s="2">
        <f t="shared" si="9"/>
        <v>0.67835635848388243</v>
      </c>
    </row>
    <row r="227" spans="1:22" x14ac:dyDescent="0.45">
      <c r="A227" t="s">
        <v>71</v>
      </c>
      <c r="B227" t="s">
        <v>72</v>
      </c>
      <c r="C227" t="s">
        <v>47</v>
      </c>
      <c r="E227" t="e">
        <v>#N/A</v>
      </c>
      <c r="F227" s="2">
        <v>4.03</v>
      </c>
      <c r="G227">
        <v>3.21</v>
      </c>
      <c r="H227" t="s">
        <v>95</v>
      </c>
      <c r="I227">
        <v>239147</v>
      </c>
      <c r="K227" t="s">
        <v>19</v>
      </c>
      <c r="L227" t="s">
        <v>96</v>
      </c>
      <c r="M227" s="1">
        <v>5.11E-2</v>
      </c>
      <c r="N227" s="2">
        <v>6.88E-2</v>
      </c>
      <c r="O227" t="b">
        <v>0</v>
      </c>
      <c r="P227" t="s">
        <v>138</v>
      </c>
      <c r="S227" t="s">
        <v>137</v>
      </c>
      <c r="U227" s="2">
        <f>F227*$AA$2/1000</f>
        <v>6.9950407368048184E-4</v>
      </c>
      <c r="V227" s="2">
        <f t="shared" si="9"/>
        <v>0.69950407368048184</v>
      </c>
    </row>
    <row r="228" spans="1:22" x14ac:dyDescent="0.45">
      <c r="A228" t="s">
        <v>71</v>
      </c>
      <c r="B228" t="s">
        <v>73</v>
      </c>
      <c r="C228" t="s">
        <v>47</v>
      </c>
      <c r="E228" t="e">
        <v>#N/A</v>
      </c>
      <c r="F228" s="2">
        <v>3.59</v>
      </c>
      <c r="G228">
        <v>3.21</v>
      </c>
      <c r="H228" t="s">
        <v>95</v>
      </c>
      <c r="I228">
        <v>151280</v>
      </c>
      <c r="K228" t="s">
        <v>19</v>
      </c>
      <c r="L228" t="s">
        <v>96</v>
      </c>
      <c r="M228" s="1">
        <v>2.2499999999999999E-2</v>
      </c>
      <c r="N228" s="2">
        <v>4.7500000000000001E-2</v>
      </c>
      <c r="O228" t="b">
        <v>0</v>
      </c>
      <c r="P228" t="s">
        <v>138</v>
      </c>
      <c r="S228" t="s">
        <v>137</v>
      </c>
      <c r="U228" s="2">
        <f>F228*$AA$3/1000</f>
        <v>5.9345849569016529E-4</v>
      </c>
      <c r="V228" s="2">
        <f t="shared" si="9"/>
        <v>0.59345849569016529</v>
      </c>
    </row>
    <row r="229" spans="1:22" x14ac:dyDescent="0.45">
      <c r="A229" t="s">
        <v>71</v>
      </c>
      <c r="B229" t="s">
        <v>74</v>
      </c>
      <c r="C229" t="s">
        <v>47</v>
      </c>
      <c r="E229" t="e">
        <v>#N/A</v>
      </c>
      <c r="F229" s="2">
        <v>3.27</v>
      </c>
      <c r="G229">
        <v>3.17</v>
      </c>
      <c r="H229" t="s">
        <v>95</v>
      </c>
      <c r="I229">
        <v>103935</v>
      </c>
      <c r="K229" t="s">
        <v>19</v>
      </c>
      <c r="L229" t="s">
        <v>96</v>
      </c>
      <c r="M229" s="1">
        <v>1.9699999999999999E-2</v>
      </c>
      <c r="N229" s="2">
        <v>3.2599999999999997E-2</v>
      </c>
      <c r="O229" t="b">
        <v>0</v>
      </c>
      <c r="P229" t="s">
        <v>138</v>
      </c>
      <c r="S229" t="s">
        <v>137</v>
      </c>
      <c r="U229" s="2">
        <f>F229*$AA$4/1000</f>
        <v>5.3669854764435007E-4</v>
      </c>
      <c r="V229" s="2">
        <f t="shared" si="9"/>
        <v>0.5366985476443501</v>
      </c>
    </row>
    <row r="230" spans="1:22" x14ac:dyDescent="0.45">
      <c r="A230" t="s">
        <v>37</v>
      </c>
      <c r="B230" t="s">
        <v>75</v>
      </c>
      <c r="C230" t="s">
        <v>47</v>
      </c>
      <c r="E230" t="e">
        <v>#N/A</v>
      </c>
      <c r="F230" s="2">
        <v>5.09</v>
      </c>
      <c r="G230">
        <v>3.25</v>
      </c>
      <c r="H230" t="s">
        <v>95</v>
      </c>
      <c r="I230">
        <v>726205</v>
      </c>
      <c r="K230" t="s">
        <v>19</v>
      </c>
      <c r="L230" t="s">
        <v>96</v>
      </c>
      <c r="M230" s="1">
        <v>7.0000000000000001E-3</v>
      </c>
      <c r="N230" s="2">
        <v>0.11899999999999999</v>
      </c>
      <c r="O230" t="b">
        <v>0</v>
      </c>
    </row>
    <row r="231" spans="1:22" x14ac:dyDescent="0.45">
      <c r="A231" t="s">
        <v>37</v>
      </c>
      <c r="B231" t="s">
        <v>76</v>
      </c>
      <c r="C231" t="s">
        <v>47</v>
      </c>
      <c r="E231" t="e">
        <v>#N/A</v>
      </c>
      <c r="F231" s="2">
        <v>25.7</v>
      </c>
      <c r="G231">
        <v>3.21</v>
      </c>
      <c r="H231" t="s">
        <v>95</v>
      </c>
      <c r="I231">
        <v>5450220</v>
      </c>
      <c r="K231" t="s">
        <v>19</v>
      </c>
      <c r="L231" t="s">
        <v>96</v>
      </c>
      <c r="M231" s="1">
        <v>2.6599999999999999E-2</v>
      </c>
      <c r="N231" s="2">
        <v>1.1000000000000001</v>
      </c>
      <c r="O231" t="b">
        <v>0</v>
      </c>
    </row>
    <row r="232" spans="1:22" x14ac:dyDescent="0.45">
      <c r="A232" t="s">
        <v>37</v>
      </c>
      <c r="B232" t="s">
        <v>77</v>
      </c>
      <c r="C232" t="s">
        <v>47</v>
      </c>
      <c r="E232" t="e">
        <v>#N/A</v>
      </c>
      <c r="F232" s="2">
        <v>28.8</v>
      </c>
      <c r="G232">
        <v>3.21</v>
      </c>
      <c r="H232" t="s">
        <v>95</v>
      </c>
      <c r="I232">
        <v>6144028</v>
      </c>
      <c r="K232" t="s">
        <v>19</v>
      </c>
      <c r="L232" t="s">
        <v>96</v>
      </c>
      <c r="M232" s="1">
        <v>6.4100000000000004E-2</v>
      </c>
      <c r="N232" s="2">
        <v>1.25</v>
      </c>
      <c r="O232" t="b">
        <v>0</v>
      </c>
    </row>
    <row r="233" spans="1:22" x14ac:dyDescent="0.45">
      <c r="A233" t="s">
        <v>37</v>
      </c>
      <c r="B233" t="s">
        <v>78</v>
      </c>
      <c r="C233" t="s">
        <v>47</v>
      </c>
      <c r="E233" t="e">
        <v>#N/A</v>
      </c>
      <c r="F233">
        <v>0</v>
      </c>
      <c r="G233" t="e">
        <v>#N/A</v>
      </c>
      <c r="H233" t="s">
        <v>95</v>
      </c>
      <c r="I233">
        <v>0</v>
      </c>
      <c r="K233" t="s">
        <v>19</v>
      </c>
      <c r="L233" t="s">
        <v>96</v>
      </c>
      <c r="M233" t="e">
        <v>#N/A</v>
      </c>
      <c r="N233">
        <v>0</v>
      </c>
      <c r="O233" t="b">
        <v>0</v>
      </c>
    </row>
    <row r="234" spans="1:22" x14ac:dyDescent="0.45">
      <c r="A234" t="s">
        <v>37</v>
      </c>
      <c r="B234" t="s">
        <v>79</v>
      </c>
      <c r="C234" t="s">
        <v>47</v>
      </c>
      <c r="E234" t="e">
        <v>#N/A</v>
      </c>
      <c r="F234">
        <v>0</v>
      </c>
      <c r="G234" t="e">
        <v>#N/A</v>
      </c>
      <c r="H234" t="s">
        <v>95</v>
      </c>
      <c r="I234">
        <v>0</v>
      </c>
      <c r="K234" t="s">
        <v>19</v>
      </c>
      <c r="L234" t="s">
        <v>96</v>
      </c>
      <c r="M234" t="e">
        <v>#N/A</v>
      </c>
      <c r="N234">
        <v>0</v>
      </c>
      <c r="O234" t="b">
        <v>0</v>
      </c>
    </row>
    <row r="235" spans="1:22" x14ac:dyDescent="0.45">
      <c r="A235" t="s">
        <v>37</v>
      </c>
      <c r="B235" t="s">
        <v>80</v>
      </c>
      <c r="C235" t="s">
        <v>47</v>
      </c>
      <c r="E235" t="e">
        <v>#N/A</v>
      </c>
      <c r="F235" s="2">
        <v>2.6</v>
      </c>
      <c r="G235">
        <v>5.9</v>
      </c>
      <c r="H235" t="s">
        <v>95</v>
      </c>
      <c r="I235">
        <v>2177</v>
      </c>
      <c r="K235" t="s">
        <v>19</v>
      </c>
      <c r="L235" t="s">
        <v>96</v>
      </c>
      <c r="M235" s="1">
        <v>4.0000000000000002E-4</v>
      </c>
      <c r="N235" s="2">
        <v>3.86E-4</v>
      </c>
      <c r="O235" t="b">
        <v>0</v>
      </c>
    </row>
    <row r="236" spans="1:22" x14ac:dyDescent="0.45">
      <c r="A236" t="s">
        <v>37</v>
      </c>
      <c r="B236" t="s">
        <v>81</v>
      </c>
      <c r="C236" t="s">
        <v>47</v>
      </c>
      <c r="E236" t="e">
        <v>#N/A</v>
      </c>
      <c r="F236">
        <v>0</v>
      </c>
      <c r="G236" t="e">
        <v>#N/A</v>
      </c>
      <c r="H236" t="s">
        <v>95</v>
      </c>
      <c r="I236">
        <v>0</v>
      </c>
      <c r="K236" t="s">
        <v>19</v>
      </c>
      <c r="L236" t="s">
        <v>96</v>
      </c>
      <c r="M236" t="e">
        <v>#N/A</v>
      </c>
      <c r="N236">
        <v>0</v>
      </c>
      <c r="O236" t="b">
        <v>0</v>
      </c>
    </row>
    <row r="237" spans="1:22" x14ac:dyDescent="0.45">
      <c r="A237" t="s">
        <v>37</v>
      </c>
      <c r="B237" t="s">
        <v>82</v>
      </c>
      <c r="C237" t="s">
        <v>47</v>
      </c>
      <c r="E237" t="e">
        <v>#N/A</v>
      </c>
      <c r="F237">
        <v>0</v>
      </c>
      <c r="G237" t="e">
        <v>#N/A</v>
      </c>
      <c r="H237" t="s">
        <v>95</v>
      </c>
      <c r="I237">
        <v>0</v>
      </c>
      <c r="K237" t="s">
        <v>19</v>
      </c>
      <c r="L237" t="s">
        <v>96</v>
      </c>
      <c r="M237" t="e">
        <v>#N/A</v>
      </c>
      <c r="N237">
        <v>0</v>
      </c>
      <c r="O237" t="b">
        <v>0</v>
      </c>
    </row>
    <row r="238" spans="1:22" x14ac:dyDescent="0.45">
      <c r="A238" t="s">
        <v>37</v>
      </c>
      <c r="B238" t="s">
        <v>83</v>
      </c>
      <c r="C238" t="s">
        <v>47</v>
      </c>
      <c r="E238" t="e">
        <v>#N/A</v>
      </c>
      <c r="F238" s="2">
        <v>2.6</v>
      </c>
      <c r="G238">
        <v>0.36</v>
      </c>
      <c r="H238" t="s">
        <v>95</v>
      </c>
      <c r="I238">
        <v>2722</v>
      </c>
      <c r="K238" t="s">
        <v>19</v>
      </c>
      <c r="L238" t="s">
        <v>96</v>
      </c>
      <c r="M238" s="1">
        <v>6.9999999999999999E-4</v>
      </c>
      <c r="N238" s="2">
        <v>7.0399999999999998E-4</v>
      </c>
      <c r="O238" t="b">
        <v>0</v>
      </c>
    </row>
    <row r="239" spans="1:22" x14ac:dyDescent="0.45">
      <c r="A239" t="s">
        <v>37</v>
      </c>
      <c r="B239" t="s">
        <v>84</v>
      </c>
      <c r="C239" t="s">
        <v>47</v>
      </c>
      <c r="E239" t="e">
        <v>#N/A</v>
      </c>
      <c r="F239">
        <v>0</v>
      </c>
      <c r="G239" t="e">
        <v>#N/A</v>
      </c>
      <c r="H239" t="s">
        <v>95</v>
      </c>
      <c r="I239">
        <v>0</v>
      </c>
      <c r="K239" t="s">
        <v>19</v>
      </c>
      <c r="L239" t="s">
        <v>96</v>
      </c>
      <c r="M239" t="e">
        <v>#N/A</v>
      </c>
      <c r="N239">
        <v>0</v>
      </c>
      <c r="O239" t="b">
        <v>0</v>
      </c>
    </row>
    <row r="240" spans="1:22" x14ac:dyDescent="0.45">
      <c r="A240" t="s">
        <v>37</v>
      </c>
      <c r="B240" t="s">
        <v>86</v>
      </c>
      <c r="C240" t="s">
        <v>47</v>
      </c>
      <c r="E240" t="e">
        <v>#N/A</v>
      </c>
      <c r="F240">
        <v>0</v>
      </c>
      <c r="G240">
        <v>5.49</v>
      </c>
      <c r="H240" t="s">
        <v>95</v>
      </c>
      <c r="I240">
        <v>2583</v>
      </c>
      <c r="K240" t="s">
        <v>19</v>
      </c>
      <c r="L240" t="s">
        <v>96</v>
      </c>
      <c r="M240" t="s">
        <v>85</v>
      </c>
      <c r="N240">
        <v>0</v>
      </c>
      <c r="O240" t="b">
        <v>0</v>
      </c>
    </row>
    <row r="241" spans="1:15" x14ac:dyDescent="0.45">
      <c r="A241" t="s">
        <v>37</v>
      </c>
      <c r="B241" t="s">
        <v>87</v>
      </c>
      <c r="C241" t="s">
        <v>47</v>
      </c>
      <c r="E241" t="e">
        <v>#N/A</v>
      </c>
      <c r="F241">
        <v>0</v>
      </c>
      <c r="G241" t="e">
        <v>#N/A</v>
      </c>
      <c r="H241" t="s">
        <v>95</v>
      </c>
      <c r="I241">
        <v>0</v>
      </c>
      <c r="K241" t="s">
        <v>19</v>
      </c>
      <c r="L241" t="s">
        <v>96</v>
      </c>
      <c r="M241" t="e">
        <v>#N/A</v>
      </c>
      <c r="N241">
        <v>0</v>
      </c>
      <c r="O241" t="b">
        <v>0</v>
      </c>
    </row>
    <row r="242" spans="1:15" x14ac:dyDescent="0.45">
      <c r="A242" t="s">
        <v>15</v>
      </c>
      <c r="B242" t="s">
        <v>16</v>
      </c>
      <c r="C242" t="s">
        <v>17</v>
      </c>
      <c r="E242" t="e">
        <v>#N/A</v>
      </c>
      <c r="F242">
        <v>0</v>
      </c>
      <c r="G242">
        <v>2.71</v>
      </c>
      <c r="H242" t="s">
        <v>97</v>
      </c>
      <c r="I242">
        <v>4090403</v>
      </c>
      <c r="J242" t="s">
        <v>98</v>
      </c>
      <c r="L242" t="s">
        <v>99</v>
      </c>
      <c r="M242" s="1">
        <v>0.99660000000000004</v>
      </c>
      <c r="N242" s="2">
        <v>4090000</v>
      </c>
      <c r="O242" t="b">
        <v>0</v>
      </c>
    </row>
    <row r="243" spans="1:15" x14ac:dyDescent="0.45">
      <c r="A243" t="s">
        <v>21</v>
      </c>
      <c r="B243" t="s">
        <v>22</v>
      </c>
      <c r="C243" t="s">
        <v>17</v>
      </c>
      <c r="E243" t="e">
        <v>#N/A</v>
      </c>
      <c r="F243">
        <v>0</v>
      </c>
      <c r="G243">
        <v>2.71</v>
      </c>
      <c r="H243" t="s">
        <v>97</v>
      </c>
      <c r="I243">
        <v>3804429</v>
      </c>
      <c r="J243" t="s">
        <v>98</v>
      </c>
      <c r="L243" t="s">
        <v>99</v>
      </c>
      <c r="M243" s="1">
        <v>0.8357</v>
      </c>
      <c r="N243" s="2">
        <v>3800000</v>
      </c>
      <c r="O243" t="b">
        <v>0</v>
      </c>
    </row>
    <row r="244" spans="1:15" x14ac:dyDescent="0.45">
      <c r="A244" t="s">
        <v>23</v>
      </c>
      <c r="B244" t="s">
        <v>24</v>
      </c>
      <c r="C244" t="s">
        <v>17</v>
      </c>
      <c r="E244" t="e">
        <v>#N/A</v>
      </c>
      <c r="F244">
        <v>0</v>
      </c>
      <c r="G244">
        <v>2.71</v>
      </c>
      <c r="H244" t="s">
        <v>97</v>
      </c>
      <c r="I244">
        <v>4017365</v>
      </c>
      <c r="J244" t="s">
        <v>98</v>
      </c>
      <c r="L244" t="s">
        <v>99</v>
      </c>
      <c r="M244" s="1">
        <v>0.70599999999999996</v>
      </c>
      <c r="N244" s="2">
        <v>4020000</v>
      </c>
      <c r="O244" t="b">
        <v>0</v>
      </c>
    </row>
    <row r="245" spans="1:15" x14ac:dyDescent="0.45">
      <c r="A245" t="s">
        <v>25</v>
      </c>
      <c r="B245" t="s">
        <v>26</v>
      </c>
      <c r="C245" t="s">
        <v>17</v>
      </c>
      <c r="E245" t="e">
        <v>#N/A</v>
      </c>
      <c r="F245">
        <v>0</v>
      </c>
      <c r="G245">
        <v>2.71</v>
      </c>
      <c r="H245" t="s">
        <v>97</v>
      </c>
      <c r="I245">
        <v>4740528</v>
      </c>
      <c r="J245" t="s">
        <v>98</v>
      </c>
      <c r="L245" t="s">
        <v>99</v>
      </c>
      <c r="M245" s="1">
        <v>0.56210000000000004</v>
      </c>
      <c r="N245" s="2">
        <v>4740000</v>
      </c>
      <c r="O245" t="b">
        <v>0</v>
      </c>
    </row>
    <row r="246" spans="1:15" x14ac:dyDescent="0.45">
      <c r="A246" t="s">
        <v>27</v>
      </c>
      <c r="B246" t="s">
        <v>28</v>
      </c>
      <c r="C246" t="s">
        <v>17</v>
      </c>
      <c r="E246" t="e">
        <v>#N/A</v>
      </c>
      <c r="F246">
        <v>0</v>
      </c>
      <c r="G246">
        <v>2.71</v>
      </c>
      <c r="H246" t="s">
        <v>97</v>
      </c>
      <c r="I246">
        <v>4182036</v>
      </c>
      <c r="J246" t="s">
        <v>98</v>
      </c>
      <c r="L246" t="s">
        <v>99</v>
      </c>
      <c r="M246" s="1">
        <v>0.31159999999999999</v>
      </c>
      <c r="N246" s="2">
        <v>4180000</v>
      </c>
      <c r="O246" t="b">
        <v>0</v>
      </c>
    </row>
    <row r="247" spans="1:15" x14ac:dyDescent="0.45">
      <c r="A247" t="s">
        <v>29</v>
      </c>
      <c r="B247" t="s">
        <v>30</v>
      </c>
      <c r="C247" t="s">
        <v>17</v>
      </c>
      <c r="E247" t="e">
        <v>#N/A</v>
      </c>
      <c r="F247">
        <v>0</v>
      </c>
      <c r="G247">
        <v>2.71</v>
      </c>
      <c r="H247" t="s">
        <v>97</v>
      </c>
      <c r="I247">
        <v>4606152</v>
      </c>
      <c r="J247" t="s">
        <v>98</v>
      </c>
      <c r="L247" t="s">
        <v>99</v>
      </c>
      <c r="M247" s="1">
        <v>0.20680000000000001</v>
      </c>
      <c r="N247" s="2">
        <v>4610000</v>
      </c>
      <c r="O247" t="b">
        <v>0</v>
      </c>
    </row>
    <row r="248" spans="1:15" x14ac:dyDescent="0.45">
      <c r="A248" t="s">
        <v>31</v>
      </c>
      <c r="B248" t="s">
        <v>32</v>
      </c>
      <c r="C248" t="s">
        <v>17</v>
      </c>
      <c r="E248" t="e">
        <v>#N/A</v>
      </c>
      <c r="F248">
        <v>0</v>
      </c>
      <c r="G248">
        <v>2.71</v>
      </c>
      <c r="H248" t="s">
        <v>97</v>
      </c>
      <c r="I248">
        <v>4065200</v>
      </c>
      <c r="J248" t="s">
        <v>98</v>
      </c>
      <c r="L248" t="s">
        <v>99</v>
      </c>
      <c r="M248" s="1">
        <v>8.0199999999999994E-2</v>
      </c>
      <c r="N248" s="2">
        <v>4070000</v>
      </c>
      <c r="O248" t="b">
        <v>0</v>
      </c>
    </row>
    <row r="249" spans="1:15" x14ac:dyDescent="0.45">
      <c r="A249" t="s">
        <v>33</v>
      </c>
      <c r="B249" t="s">
        <v>34</v>
      </c>
      <c r="C249" t="s">
        <v>17</v>
      </c>
      <c r="E249" t="e">
        <v>#N/A</v>
      </c>
      <c r="F249">
        <v>0</v>
      </c>
      <c r="G249">
        <v>2.71</v>
      </c>
      <c r="H249" t="s">
        <v>97</v>
      </c>
      <c r="I249">
        <v>4210493</v>
      </c>
      <c r="J249" t="s">
        <v>98</v>
      </c>
      <c r="L249" t="s">
        <v>99</v>
      </c>
      <c r="M249" s="1">
        <v>4.9399999999999999E-2</v>
      </c>
      <c r="N249" s="2">
        <v>4210000</v>
      </c>
      <c r="O249" t="b">
        <v>0</v>
      </c>
    </row>
    <row r="250" spans="1:15" x14ac:dyDescent="0.45">
      <c r="A250" t="s">
        <v>35</v>
      </c>
      <c r="B250" t="s">
        <v>36</v>
      </c>
      <c r="C250" t="s">
        <v>17</v>
      </c>
      <c r="E250" t="e">
        <v>#N/A</v>
      </c>
      <c r="F250">
        <v>0</v>
      </c>
      <c r="G250">
        <v>2.71</v>
      </c>
      <c r="H250" t="s">
        <v>97</v>
      </c>
      <c r="I250">
        <v>4448334</v>
      </c>
      <c r="J250" t="s">
        <v>98</v>
      </c>
      <c r="L250" t="s">
        <v>99</v>
      </c>
      <c r="M250" s="1">
        <v>2.2800000000000001E-2</v>
      </c>
      <c r="N250" s="2">
        <v>4450000</v>
      </c>
      <c r="O250" t="b">
        <v>0</v>
      </c>
    </row>
    <row r="251" spans="1:15" x14ac:dyDescent="0.45">
      <c r="A251" t="s">
        <v>37</v>
      </c>
      <c r="B251" t="s">
        <v>38</v>
      </c>
      <c r="C251" t="s">
        <v>17</v>
      </c>
      <c r="E251" t="e">
        <v>#N/A</v>
      </c>
      <c r="F251">
        <v>0</v>
      </c>
      <c r="G251">
        <v>2.71</v>
      </c>
      <c r="H251" t="s">
        <v>97</v>
      </c>
      <c r="I251">
        <v>4497385</v>
      </c>
      <c r="J251" t="s">
        <v>98</v>
      </c>
      <c r="L251" t="s">
        <v>99</v>
      </c>
      <c r="M251" s="1">
        <v>2.0500000000000001E-2</v>
      </c>
      <c r="N251" s="2">
        <v>4500000</v>
      </c>
      <c r="O251" t="b">
        <v>0</v>
      </c>
    </row>
    <row r="252" spans="1:15" x14ac:dyDescent="0.45">
      <c r="A252" t="s">
        <v>37</v>
      </c>
      <c r="B252" t="s">
        <v>39</v>
      </c>
      <c r="C252" t="s">
        <v>17</v>
      </c>
      <c r="E252" t="e">
        <v>#N/A</v>
      </c>
      <c r="F252">
        <v>0</v>
      </c>
      <c r="G252">
        <v>2.71</v>
      </c>
      <c r="H252" t="s">
        <v>97</v>
      </c>
      <c r="I252">
        <v>3900877</v>
      </c>
      <c r="J252" t="s">
        <v>98</v>
      </c>
      <c r="L252" t="s">
        <v>99</v>
      </c>
      <c r="M252" s="1">
        <v>2.5999999999999999E-3</v>
      </c>
      <c r="N252" s="2">
        <v>3900000</v>
      </c>
      <c r="O252" t="b">
        <v>0</v>
      </c>
    </row>
    <row r="253" spans="1:15" x14ac:dyDescent="0.45">
      <c r="A253" t="s">
        <v>40</v>
      </c>
      <c r="B253" t="s">
        <v>41</v>
      </c>
      <c r="C253" t="s">
        <v>42</v>
      </c>
      <c r="E253" t="e">
        <v>#N/A</v>
      </c>
      <c r="F253">
        <v>0</v>
      </c>
      <c r="G253">
        <v>2.71</v>
      </c>
      <c r="H253" t="s">
        <v>97</v>
      </c>
      <c r="I253">
        <v>4052574</v>
      </c>
      <c r="J253" t="s">
        <v>98</v>
      </c>
      <c r="L253" t="s">
        <v>99</v>
      </c>
      <c r="M253" s="3">
        <v>1</v>
      </c>
      <c r="N253" s="2">
        <v>4050000</v>
      </c>
      <c r="O253" t="b">
        <v>0</v>
      </c>
    </row>
    <row r="254" spans="1:15" x14ac:dyDescent="0.45">
      <c r="A254" t="s">
        <v>40</v>
      </c>
      <c r="B254" t="s">
        <v>43</v>
      </c>
      <c r="C254" t="s">
        <v>42</v>
      </c>
      <c r="E254" t="e">
        <v>#N/A</v>
      </c>
      <c r="F254">
        <v>0</v>
      </c>
      <c r="G254">
        <v>2.71</v>
      </c>
      <c r="H254" t="s">
        <v>97</v>
      </c>
      <c r="I254">
        <v>4175033</v>
      </c>
      <c r="J254" t="s">
        <v>98</v>
      </c>
      <c r="L254" t="s">
        <v>99</v>
      </c>
      <c r="M254" s="3">
        <v>1</v>
      </c>
      <c r="N254" s="2">
        <v>4180000</v>
      </c>
      <c r="O254" t="b">
        <v>0</v>
      </c>
    </row>
    <row r="255" spans="1:15" x14ac:dyDescent="0.45">
      <c r="A255" t="s">
        <v>40</v>
      </c>
      <c r="B255" t="s">
        <v>44</v>
      </c>
      <c r="C255" t="s">
        <v>42</v>
      </c>
      <c r="E255" t="e">
        <v>#N/A</v>
      </c>
      <c r="F255">
        <v>0</v>
      </c>
      <c r="G255">
        <v>2.71</v>
      </c>
      <c r="H255" t="s">
        <v>97</v>
      </c>
      <c r="I255">
        <v>3831189</v>
      </c>
      <c r="J255" t="s">
        <v>98</v>
      </c>
      <c r="L255" t="s">
        <v>99</v>
      </c>
      <c r="M255" s="3">
        <v>1</v>
      </c>
      <c r="N255" s="2">
        <v>3830000</v>
      </c>
      <c r="O255" t="b">
        <v>0</v>
      </c>
    </row>
    <row r="256" spans="1:15" x14ac:dyDescent="0.45">
      <c r="A256" t="s">
        <v>45</v>
      </c>
      <c r="B256" t="s">
        <v>46</v>
      </c>
      <c r="C256" t="s">
        <v>47</v>
      </c>
      <c r="E256" t="e">
        <v>#N/A</v>
      </c>
      <c r="F256">
        <v>0</v>
      </c>
      <c r="G256">
        <v>2.67</v>
      </c>
      <c r="H256" t="s">
        <v>97</v>
      </c>
      <c r="I256">
        <v>6921775</v>
      </c>
      <c r="J256" t="s">
        <v>98</v>
      </c>
      <c r="L256" t="s">
        <v>99</v>
      </c>
      <c r="M256" s="1">
        <v>0.99960000000000004</v>
      </c>
      <c r="N256" s="2">
        <v>6920000</v>
      </c>
      <c r="O256" t="b">
        <v>0</v>
      </c>
    </row>
    <row r="257" spans="1:15" x14ac:dyDescent="0.45">
      <c r="A257" t="s">
        <v>45</v>
      </c>
      <c r="B257" t="s">
        <v>48</v>
      </c>
      <c r="C257" t="s">
        <v>47</v>
      </c>
      <c r="E257" t="e">
        <v>#N/A</v>
      </c>
      <c r="F257">
        <v>0</v>
      </c>
      <c r="G257">
        <v>2.67</v>
      </c>
      <c r="H257" t="s">
        <v>97</v>
      </c>
      <c r="I257">
        <v>6566873</v>
      </c>
      <c r="J257" t="s">
        <v>98</v>
      </c>
      <c r="L257" t="s">
        <v>99</v>
      </c>
      <c r="M257" s="1">
        <v>0.99960000000000004</v>
      </c>
      <c r="N257" s="2">
        <v>6570000</v>
      </c>
      <c r="O257" t="b">
        <v>0</v>
      </c>
    </row>
    <row r="258" spans="1:15" x14ac:dyDescent="0.45">
      <c r="A258" t="s">
        <v>45</v>
      </c>
      <c r="B258" t="s">
        <v>49</v>
      </c>
      <c r="C258" t="s">
        <v>47</v>
      </c>
      <c r="E258" t="e">
        <v>#N/A</v>
      </c>
      <c r="F258">
        <v>0</v>
      </c>
      <c r="G258">
        <v>2.71</v>
      </c>
      <c r="H258" t="s">
        <v>97</v>
      </c>
      <c r="I258">
        <v>7419368</v>
      </c>
      <c r="J258" t="s">
        <v>98</v>
      </c>
      <c r="L258" t="s">
        <v>99</v>
      </c>
      <c r="M258" s="3">
        <v>1</v>
      </c>
      <c r="N258" s="2">
        <v>7420000</v>
      </c>
      <c r="O258" t="b">
        <v>0</v>
      </c>
    </row>
    <row r="259" spans="1:15" x14ac:dyDescent="0.45">
      <c r="A259" t="s">
        <v>50</v>
      </c>
      <c r="B259" t="s">
        <v>51</v>
      </c>
      <c r="C259" t="s">
        <v>47</v>
      </c>
      <c r="E259" t="e">
        <v>#N/A</v>
      </c>
      <c r="F259">
        <v>0</v>
      </c>
      <c r="G259">
        <v>2.71</v>
      </c>
      <c r="H259" t="s">
        <v>97</v>
      </c>
      <c r="I259">
        <v>3409416</v>
      </c>
      <c r="J259" t="s">
        <v>98</v>
      </c>
      <c r="L259" t="s">
        <v>99</v>
      </c>
      <c r="M259" s="3">
        <v>1</v>
      </c>
      <c r="N259" s="2">
        <v>3410000</v>
      </c>
      <c r="O259" t="b">
        <v>0</v>
      </c>
    </row>
    <row r="260" spans="1:15" x14ac:dyDescent="0.45">
      <c r="A260" t="s">
        <v>50</v>
      </c>
      <c r="B260" t="s">
        <v>52</v>
      </c>
      <c r="C260" t="s">
        <v>47</v>
      </c>
      <c r="E260" t="e">
        <v>#N/A</v>
      </c>
      <c r="F260">
        <v>0</v>
      </c>
      <c r="G260">
        <v>2.67</v>
      </c>
      <c r="H260" t="s">
        <v>97</v>
      </c>
      <c r="I260">
        <v>5836174</v>
      </c>
      <c r="J260" t="s">
        <v>98</v>
      </c>
      <c r="L260" t="s">
        <v>99</v>
      </c>
      <c r="M260" s="1">
        <v>0.99960000000000004</v>
      </c>
      <c r="N260" s="2">
        <v>5840000</v>
      </c>
      <c r="O260" t="b">
        <v>0</v>
      </c>
    </row>
    <row r="261" spans="1:15" x14ac:dyDescent="0.45">
      <c r="A261" t="s">
        <v>50</v>
      </c>
      <c r="B261" t="s">
        <v>53</v>
      </c>
      <c r="C261" t="s">
        <v>47</v>
      </c>
      <c r="E261" t="e">
        <v>#N/A</v>
      </c>
      <c r="F261">
        <v>0</v>
      </c>
      <c r="G261">
        <v>2.71</v>
      </c>
      <c r="H261" t="s">
        <v>97</v>
      </c>
      <c r="I261">
        <v>3745860</v>
      </c>
      <c r="J261" t="s">
        <v>98</v>
      </c>
      <c r="L261" t="s">
        <v>99</v>
      </c>
      <c r="M261" s="3">
        <v>1</v>
      </c>
      <c r="N261" s="2">
        <v>3750000</v>
      </c>
      <c r="O261" t="b">
        <v>0</v>
      </c>
    </row>
    <row r="262" spans="1:15" x14ac:dyDescent="0.45">
      <c r="A262" t="s">
        <v>50</v>
      </c>
      <c r="B262" t="s">
        <v>54</v>
      </c>
      <c r="C262" t="s">
        <v>47</v>
      </c>
      <c r="E262" t="e">
        <v>#N/A</v>
      </c>
      <c r="F262">
        <v>0</v>
      </c>
      <c r="G262">
        <v>2.69</v>
      </c>
      <c r="H262" t="s">
        <v>97</v>
      </c>
      <c r="I262">
        <v>3303870</v>
      </c>
      <c r="J262" t="s">
        <v>98</v>
      </c>
      <c r="L262" t="s">
        <v>99</v>
      </c>
      <c r="M262" s="1">
        <v>0.85340000000000005</v>
      </c>
      <c r="N262" s="2">
        <v>3300000</v>
      </c>
      <c r="O262" t="b">
        <v>0</v>
      </c>
    </row>
    <row r="263" spans="1:15" x14ac:dyDescent="0.45">
      <c r="A263" t="s">
        <v>50</v>
      </c>
      <c r="B263" t="s">
        <v>55</v>
      </c>
      <c r="C263" t="s">
        <v>47</v>
      </c>
      <c r="E263" t="e">
        <v>#N/A</v>
      </c>
      <c r="F263">
        <v>0</v>
      </c>
      <c r="G263">
        <v>2.69</v>
      </c>
      <c r="H263" t="s">
        <v>97</v>
      </c>
      <c r="I263">
        <v>3906152</v>
      </c>
      <c r="J263" t="s">
        <v>98</v>
      </c>
      <c r="L263" t="s">
        <v>99</v>
      </c>
      <c r="M263" s="1">
        <v>0.90129999999999999</v>
      </c>
      <c r="N263" s="2">
        <v>3910000</v>
      </c>
      <c r="O263" t="b">
        <v>0</v>
      </c>
    </row>
    <row r="264" spans="1:15" x14ac:dyDescent="0.45">
      <c r="A264" t="s">
        <v>50</v>
      </c>
      <c r="B264" t="s">
        <v>56</v>
      </c>
      <c r="C264" t="s">
        <v>47</v>
      </c>
      <c r="E264" t="e">
        <v>#N/A</v>
      </c>
      <c r="F264">
        <v>0</v>
      </c>
      <c r="G264">
        <v>2.67</v>
      </c>
      <c r="H264" t="s">
        <v>97</v>
      </c>
      <c r="I264">
        <v>3016750</v>
      </c>
      <c r="J264" t="s">
        <v>98</v>
      </c>
      <c r="L264" t="s">
        <v>99</v>
      </c>
      <c r="M264" s="1">
        <v>0.85929999999999995</v>
      </c>
      <c r="N264" s="2">
        <v>3020000</v>
      </c>
      <c r="O264" t="b">
        <v>0</v>
      </c>
    </row>
    <row r="265" spans="1:15" x14ac:dyDescent="0.45">
      <c r="A265" t="s">
        <v>57</v>
      </c>
      <c r="B265" t="s">
        <v>58</v>
      </c>
      <c r="C265" t="s">
        <v>47</v>
      </c>
      <c r="E265" t="e">
        <v>#N/A</v>
      </c>
      <c r="F265">
        <v>0</v>
      </c>
      <c r="G265">
        <v>2.67</v>
      </c>
      <c r="H265" t="s">
        <v>97</v>
      </c>
      <c r="I265">
        <v>4255685</v>
      </c>
      <c r="J265" t="s">
        <v>98</v>
      </c>
      <c r="L265" t="s">
        <v>99</v>
      </c>
      <c r="M265" s="1">
        <v>0.28399999999999997</v>
      </c>
      <c r="N265" s="2">
        <v>4260000</v>
      </c>
      <c r="O265" t="b">
        <v>0</v>
      </c>
    </row>
    <row r="266" spans="1:15" x14ac:dyDescent="0.45">
      <c r="A266" t="s">
        <v>59</v>
      </c>
      <c r="B266" t="s">
        <v>60</v>
      </c>
      <c r="C266" t="s">
        <v>47</v>
      </c>
      <c r="E266" t="e">
        <v>#N/A</v>
      </c>
      <c r="F266">
        <v>0</v>
      </c>
      <c r="G266">
        <v>2.67</v>
      </c>
      <c r="H266" t="s">
        <v>97</v>
      </c>
      <c r="I266">
        <v>3736015</v>
      </c>
      <c r="J266" t="s">
        <v>98</v>
      </c>
      <c r="L266" t="s">
        <v>99</v>
      </c>
      <c r="M266" s="1">
        <v>3.6600000000000001E-2</v>
      </c>
      <c r="N266" s="2">
        <v>3740000</v>
      </c>
      <c r="O266" t="b">
        <v>0</v>
      </c>
    </row>
    <row r="267" spans="1:15" x14ac:dyDescent="0.45">
      <c r="A267" t="s">
        <v>61</v>
      </c>
      <c r="B267" t="s">
        <v>62</v>
      </c>
      <c r="C267" t="s">
        <v>47</v>
      </c>
      <c r="E267" t="e">
        <v>#N/A</v>
      </c>
      <c r="F267">
        <v>0</v>
      </c>
      <c r="G267">
        <v>2.71</v>
      </c>
      <c r="H267" t="s">
        <v>97</v>
      </c>
      <c r="I267">
        <v>4822828</v>
      </c>
      <c r="J267" t="s">
        <v>98</v>
      </c>
      <c r="L267" t="s">
        <v>99</v>
      </c>
      <c r="M267" s="1">
        <v>0.36370000000000002</v>
      </c>
      <c r="N267" s="2">
        <v>4820000</v>
      </c>
      <c r="O267" t="b">
        <v>0</v>
      </c>
    </row>
    <row r="268" spans="1:15" x14ac:dyDescent="0.45">
      <c r="A268" t="s">
        <v>59</v>
      </c>
      <c r="B268" t="s">
        <v>63</v>
      </c>
      <c r="C268" t="s">
        <v>47</v>
      </c>
      <c r="E268" t="e">
        <v>#N/A</v>
      </c>
      <c r="F268">
        <v>0</v>
      </c>
      <c r="G268">
        <v>2.69</v>
      </c>
      <c r="H268" t="s">
        <v>97</v>
      </c>
      <c r="I268">
        <v>2468390</v>
      </c>
      <c r="J268" t="s">
        <v>98</v>
      </c>
      <c r="L268" t="s">
        <v>99</v>
      </c>
      <c r="M268" s="1">
        <v>1.9400000000000001E-2</v>
      </c>
      <c r="N268" s="2">
        <v>2470000</v>
      </c>
      <c r="O268" t="b">
        <v>0</v>
      </c>
    </row>
    <row r="269" spans="1:15" x14ac:dyDescent="0.45">
      <c r="A269" t="s">
        <v>61</v>
      </c>
      <c r="B269" t="s">
        <v>64</v>
      </c>
      <c r="C269" t="s">
        <v>47</v>
      </c>
      <c r="E269" t="e">
        <v>#N/A</v>
      </c>
      <c r="F269">
        <v>0</v>
      </c>
      <c r="G269">
        <v>2.67</v>
      </c>
      <c r="H269" t="s">
        <v>97</v>
      </c>
      <c r="I269">
        <v>4207125</v>
      </c>
      <c r="J269" t="s">
        <v>98</v>
      </c>
      <c r="L269" t="s">
        <v>99</v>
      </c>
      <c r="M269" s="1">
        <v>0.1139</v>
      </c>
      <c r="N269" s="2">
        <v>4210000</v>
      </c>
      <c r="O269" t="b">
        <v>0</v>
      </c>
    </row>
    <row r="270" spans="1:15" x14ac:dyDescent="0.45">
      <c r="A270" t="s">
        <v>59</v>
      </c>
      <c r="B270" t="s">
        <v>65</v>
      </c>
      <c r="C270" t="s">
        <v>47</v>
      </c>
      <c r="E270" t="e">
        <v>#N/A</v>
      </c>
      <c r="F270">
        <v>0</v>
      </c>
      <c r="G270">
        <v>2.67</v>
      </c>
      <c r="H270" t="s">
        <v>97</v>
      </c>
      <c r="I270">
        <v>3058051</v>
      </c>
      <c r="J270" t="s">
        <v>98</v>
      </c>
      <c r="L270" t="s">
        <v>99</v>
      </c>
      <c r="M270" s="1">
        <v>3.0099999999999998E-2</v>
      </c>
      <c r="N270" s="2">
        <v>3060000</v>
      </c>
      <c r="O270" t="b">
        <v>0</v>
      </c>
    </row>
    <row r="271" spans="1:15" x14ac:dyDescent="0.45">
      <c r="A271" t="s">
        <v>61</v>
      </c>
      <c r="B271" t="s">
        <v>66</v>
      </c>
      <c r="C271" t="s">
        <v>47</v>
      </c>
      <c r="E271" t="e">
        <v>#N/A</v>
      </c>
      <c r="F271">
        <v>0</v>
      </c>
      <c r="G271">
        <v>2.71</v>
      </c>
      <c r="H271" t="s">
        <v>97</v>
      </c>
      <c r="I271">
        <v>4325450</v>
      </c>
      <c r="J271" t="s">
        <v>98</v>
      </c>
      <c r="L271" t="s">
        <v>99</v>
      </c>
      <c r="M271" s="1">
        <v>0.31009999999999999</v>
      </c>
      <c r="N271" s="2">
        <v>4330000</v>
      </c>
      <c r="O271" t="b">
        <v>0</v>
      </c>
    </row>
    <row r="272" spans="1:15" x14ac:dyDescent="0.45">
      <c r="A272" t="s">
        <v>67</v>
      </c>
      <c r="B272" t="s">
        <v>68</v>
      </c>
      <c r="C272" t="s">
        <v>47</v>
      </c>
      <c r="E272" t="e">
        <v>#N/A</v>
      </c>
      <c r="F272">
        <v>0</v>
      </c>
      <c r="G272">
        <v>2.67</v>
      </c>
      <c r="H272" t="s">
        <v>97</v>
      </c>
      <c r="I272">
        <v>5344583</v>
      </c>
      <c r="J272" t="s">
        <v>98</v>
      </c>
      <c r="L272" t="s">
        <v>99</v>
      </c>
      <c r="M272" s="1">
        <v>0.9425</v>
      </c>
      <c r="N272" s="2">
        <v>5340000</v>
      </c>
      <c r="O272" t="b">
        <v>0</v>
      </c>
    </row>
    <row r="273" spans="1:15" x14ac:dyDescent="0.45">
      <c r="A273" t="s">
        <v>67</v>
      </c>
      <c r="B273" t="s">
        <v>69</v>
      </c>
      <c r="C273" t="s">
        <v>47</v>
      </c>
      <c r="E273" t="e">
        <v>#N/A</v>
      </c>
      <c r="F273">
        <v>0</v>
      </c>
      <c r="G273">
        <v>2.67</v>
      </c>
      <c r="H273" t="s">
        <v>97</v>
      </c>
      <c r="I273">
        <v>5228093</v>
      </c>
      <c r="J273" t="s">
        <v>98</v>
      </c>
      <c r="L273" t="s">
        <v>99</v>
      </c>
      <c r="M273" s="3">
        <v>1</v>
      </c>
      <c r="N273" s="2">
        <v>5230000</v>
      </c>
      <c r="O273" t="b">
        <v>0</v>
      </c>
    </row>
    <row r="274" spans="1:15" x14ac:dyDescent="0.45">
      <c r="A274" t="s">
        <v>67</v>
      </c>
      <c r="B274" t="s">
        <v>70</v>
      </c>
      <c r="C274" t="s">
        <v>47</v>
      </c>
      <c r="E274" t="e">
        <v>#N/A</v>
      </c>
      <c r="F274">
        <v>0</v>
      </c>
      <c r="G274">
        <v>2.67</v>
      </c>
      <c r="H274" t="s">
        <v>97</v>
      </c>
      <c r="I274">
        <v>3638616</v>
      </c>
      <c r="J274" t="s">
        <v>98</v>
      </c>
      <c r="L274" t="s">
        <v>99</v>
      </c>
      <c r="M274" s="1">
        <v>8.1100000000000005E-2</v>
      </c>
      <c r="N274" s="2">
        <v>3640000</v>
      </c>
      <c r="O274" t="b">
        <v>0</v>
      </c>
    </row>
    <row r="275" spans="1:15" x14ac:dyDescent="0.45">
      <c r="A275" t="s">
        <v>71</v>
      </c>
      <c r="B275" t="s">
        <v>72</v>
      </c>
      <c r="C275" t="s">
        <v>47</v>
      </c>
      <c r="E275" t="e">
        <v>#N/A</v>
      </c>
      <c r="F275">
        <v>0</v>
      </c>
      <c r="G275">
        <v>2.67</v>
      </c>
      <c r="H275" t="s">
        <v>97</v>
      </c>
      <c r="I275">
        <v>3478490</v>
      </c>
      <c r="J275" t="s">
        <v>98</v>
      </c>
      <c r="L275" t="s">
        <v>99</v>
      </c>
      <c r="M275" s="1">
        <v>0.74299999999999999</v>
      </c>
      <c r="N275" s="2">
        <v>3480000</v>
      </c>
      <c r="O275" t="b">
        <v>0</v>
      </c>
    </row>
    <row r="276" spans="1:15" x14ac:dyDescent="0.45">
      <c r="A276" t="s">
        <v>71</v>
      </c>
      <c r="B276" t="s">
        <v>73</v>
      </c>
      <c r="C276" t="s">
        <v>47</v>
      </c>
      <c r="E276" t="e">
        <v>#N/A</v>
      </c>
      <c r="F276">
        <v>0</v>
      </c>
      <c r="G276">
        <v>2.69</v>
      </c>
      <c r="H276" t="s">
        <v>97</v>
      </c>
      <c r="I276">
        <v>3182049</v>
      </c>
      <c r="J276" t="s">
        <v>98</v>
      </c>
      <c r="L276" t="s">
        <v>99</v>
      </c>
      <c r="M276" s="1">
        <v>0.47320000000000001</v>
      </c>
      <c r="N276" s="2">
        <v>3180000</v>
      </c>
      <c r="O276" t="b">
        <v>0</v>
      </c>
    </row>
    <row r="277" spans="1:15" x14ac:dyDescent="0.45">
      <c r="A277" t="s">
        <v>71</v>
      </c>
      <c r="B277" t="s">
        <v>74</v>
      </c>
      <c r="C277" t="s">
        <v>47</v>
      </c>
      <c r="E277" t="e">
        <v>#N/A</v>
      </c>
      <c r="F277">
        <v>0</v>
      </c>
      <c r="G277">
        <v>2.71</v>
      </c>
      <c r="H277" t="s">
        <v>97</v>
      </c>
      <c r="I277">
        <v>3186886</v>
      </c>
      <c r="J277" t="s">
        <v>98</v>
      </c>
      <c r="L277" t="s">
        <v>99</v>
      </c>
      <c r="M277" s="1">
        <v>0.6038</v>
      </c>
      <c r="N277" s="2">
        <v>3190000</v>
      </c>
      <c r="O277" t="b">
        <v>0</v>
      </c>
    </row>
    <row r="278" spans="1:15" x14ac:dyDescent="0.45">
      <c r="A278" t="s">
        <v>37</v>
      </c>
      <c r="B278" t="s">
        <v>75</v>
      </c>
      <c r="C278" t="s">
        <v>47</v>
      </c>
      <c r="E278" t="e">
        <v>#N/A</v>
      </c>
      <c r="F278">
        <v>0</v>
      </c>
      <c r="G278">
        <v>2.71</v>
      </c>
      <c r="H278" t="s">
        <v>97</v>
      </c>
      <c r="I278">
        <v>6079030</v>
      </c>
      <c r="J278" t="s">
        <v>98</v>
      </c>
      <c r="L278" t="s">
        <v>99</v>
      </c>
      <c r="M278" s="1">
        <v>5.8200000000000002E-2</v>
      </c>
      <c r="N278" s="2">
        <v>6080000</v>
      </c>
      <c r="O278" t="b">
        <v>0</v>
      </c>
    </row>
    <row r="279" spans="1:15" x14ac:dyDescent="0.45">
      <c r="A279" t="s">
        <v>37</v>
      </c>
      <c r="B279" t="s">
        <v>76</v>
      </c>
      <c r="C279" t="s">
        <v>47</v>
      </c>
      <c r="E279" t="e">
        <v>#N/A</v>
      </c>
      <c r="F279">
        <v>0</v>
      </c>
      <c r="G279">
        <v>2.71</v>
      </c>
      <c r="H279" t="s">
        <v>97</v>
      </c>
      <c r="I279">
        <v>4943531</v>
      </c>
      <c r="J279" t="s">
        <v>98</v>
      </c>
      <c r="L279" t="s">
        <v>99</v>
      </c>
      <c r="M279" s="1">
        <v>2.4199999999999999E-2</v>
      </c>
      <c r="N279" s="2">
        <v>4940000</v>
      </c>
      <c r="O279" t="b">
        <v>0</v>
      </c>
    </row>
    <row r="280" spans="1:15" x14ac:dyDescent="0.45">
      <c r="A280" t="s">
        <v>37</v>
      </c>
      <c r="B280" t="s">
        <v>77</v>
      </c>
      <c r="C280" t="s">
        <v>47</v>
      </c>
      <c r="E280" t="e">
        <v>#N/A</v>
      </c>
      <c r="F280">
        <v>0</v>
      </c>
      <c r="G280">
        <v>2.71</v>
      </c>
      <c r="H280" t="s">
        <v>97</v>
      </c>
      <c r="I280">
        <v>4907040</v>
      </c>
      <c r="J280" t="s">
        <v>98</v>
      </c>
      <c r="L280" t="s">
        <v>99</v>
      </c>
      <c r="M280" s="1">
        <v>5.1200000000000002E-2</v>
      </c>
      <c r="N280" s="2">
        <v>4910000</v>
      </c>
      <c r="O280" t="b">
        <v>0</v>
      </c>
    </row>
    <row r="281" spans="1:15" x14ac:dyDescent="0.45">
      <c r="A281" t="s">
        <v>37</v>
      </c>
      <c r="B281" t="s">
        <v>78</v>
      </c>
      <c r="C281" t="s">
        <v>47</v>
      </c>
      <c r="E281" t="e">
        <v>#N/A</v>
      </c>
      <c r="F281">
        <v>0</v>
      </c>
      <c r="G281">
        <v>2.71</v>
      </c>
      <c r="H281" t="s">
        <v>97</v>
      </c>
      <c r="I281">
        <v>5156361</v>
      </c>
      <c r="J281" t="s">
        <v>98</v>
      </c>
      <c r="L281" t="s">
        <v>99</v>
      </c>
      <c r="M281" s="3">
        <v>1</v>
      </c>
      <c r="N281" s="2">
        <v>5160000</v>
      </c>
      <c r="O281" t="b">
        <v>0</v>
      </c>
    </row>
    <row r="282" spans="1:15" x14ac:dyDescent="0.45">
      <c r="A282" t="s">
        <v>37</v>
      </c>
      <c r="B282" t="s">
        <v>79</v>
      </c>
      <c r="C282" t="s">
        <v>47</v>
      </c>
      <c r="E282" t="e">
        <v>#N/A</v>
      </c>
      <c r="F282">
        <v>0</v>
      </c>
      <c r="G282">
        <v>2.71</v>
      </c>
      <c r="H282" t="s">
        <v>97</v>
      </c>
      <c r="I282">
        <v>4885329</v>
      </c>
      <c r="J282" t="s">
        <v>98</v>
      </c>
      <c r="L282" t="s">
        <v>99</v>
      </c>
      <c r="M282" s="3">
        <v>1</v>
      </c>
      <c r="N282" s="2">
        <v>4890000</v>
      </c>
      <c r="O282" t="b">
        <v>0</v>
      </c>
    </row>
    <row r="283" spans="1:15" x14ac:dyDescent="0.45">
      <c r="A283" t="s">
        <v>37</v>
      </c>
      <c r="B283" t="s">
        <v>80</v>
      </c>
      <c r="C283" t="s">
        <v>47</v>
      </c>
      <c r="E283" t="e">
        <v>#N/A</v>
      </c>
      <c r="F283">
        <v>0</v>
      </c>
      <c r="G283">
        <v>2.71</v>
      </c>
      <c r="H283" t="s">
        <v>97</v>
      </c>
      <c r="I283">
        <v>5636287</v>
      </c>
      <c r="J283" t="s">
        <v>98</v>
      </c>
      <c r="L283" t="s">
        <v>99</v>
      </c>
      <c r="M283" s="1">
        <v>0.99960000000000004</v>
      </c>
      <c r="N283" s="2">
        <v>5640000</v>
      </c>
      <c r="O283" t="b">
        <v>0</v>
      </c>
    </row>
    <row r="284" spans="1:15" x14ac:dyDescent="0.45">
      <c r="A284" t="s">
        <v>37</v>
      </c>
      <c r="B284" t="s">
        <v>81</v>
      </c>
      <c r="C284" t="s">
        <v>47</v>
      </c>
      <c r="E284" t="e">
        <v>#N/A</v>
      </c>
      <c r="F284">
        <v>0</v>
      </c>
      <c r="G284">
        <v>2.71</v>
      </c>
      <c r="H284" t="s">
        <v>97</v>
      </c>
      <c r="I284">
        <v>4849971</v>
      </c>
      <c r="J284" t="s">
        <v>98</v>
      </c>
      <c r="L284" t="s">
        <v>99</v>
      </c>
      <c r="M284" s="3">
        <v>1</v>
      </c>
      <c r="N284" s="2">
        <v>4850000</v>
      </c>
      <c r="O284" t="b">
        <v>0</v>
      </c>
    </row>
    <row r="285" spans="1:15" x14ac:dyDescent="0.45">
      <c r="A285" t="s">
        <v>37</v>
      </c>
      <c r="B285" t="s">
        <v>82</v>
      </c>
      <c r="C285" t="s">
        <v>47</v>
      </c>
      <c r="E285" t="e">
        <v>#N/A</v>
      </c>
      <c r="F285">
        <v>0</v>
      </c>
      <c r="G285">
        <v>2.71</v>
      </c>
      <c r="H285" t="s">
        <v>97</v>
      </c>
      <c r="I285">
        <v>4926151</v>
      </c>
      <c r="J285" t="s">
        <v>98</v>
      </c>
      <c r="L285" t="s">
        <v>99</v>
      </c>
      <c r="M285" s="3">
        <v>1</v>
      </c>
      <c r="N285" s="2">
        <v>4930000</v>
      </c>
      <c r="O285" t="b">
        <v>0</v>
      </c>
    </row>
    <row r="286" spans="1:15" x14ac:dyDescent="0.45">
      <c r="A286" t="s">
        <v>37</v>
      </c>
      <c r="B286" t="s">
        <v>83</v>
      </c>
      <c r="C286" t="s">
        <v>47</v>
      </c>
      <c r="E286" t="e">
        <v>#N/A</v>
      </c>
      <c r="F286">
        <v>0</v>
      </c>
      <c r="G286">
        <v>2.71</v>
      </c>
      <c r="H286" t="s">
        <v>97</v>
      </c>
      <c r="I286">
        <v>3866706</v>
      </c>
      <c r="J286" t="s">
        <v>98</v>
      </c>
      <c r="L286" t="s">
        <v>99</v>
      </c>
      <c r="M286" s="1">
        <v>0.99929999999999997</v>
      </c>
      <c r="N286" s="2">
        <v>3870000</v>
      </c>
      <c r="O286" t="b">
        <v>0</v>
      </c>
    </row>
    <row r="287" spans="1:15" x14ac:dyDescent="0.45">
      <c r="A287" t="s">
        <v>37</v>
      </c>
      <c r="B287" t="s">
        <v>84</v>
      </c>
      <c r="C287" t="s">
        <v>47</v>
      </c>
      <c r="E287" t="e">
        <v>#N/A</v>
      </c>
      <c r="F287">
        <v>0</v>
      </c>
      <c r="G287" t="e">
        <v>#N/A</v>
      </c>
      <c r="H287" t="s">
        <v>97</v>
      </c>
      <c r="I287">
        <v>0</v>
      </c>
      <c r="J287" t="s">
        <v>98</v>
      </c>
      <c r="L287" t="s">
        <v>99</v>
      </c>
      <c r="M287" t="e">
        <v>#N/A</v>
      </c>
      <c r="N287">
        <v>0</v>
      </c>
      <c r="O287" t="b">
        <v>0</v>
      </c>
    </row>
    <row r="288" spans="1:15" x14ac:dyDescent="0.45">
      <c r="A288" t="s">
        <v>37</v>
      </c>
      <c r="B288" t="s">
        <v>86</v>
      </c>
      <c r="C288" t="s">
        <v>47</v>
      </c>
      <c r="E288" t="e">
        <v>#N/A</v>
      </c>
      <c r="F288">
        <v>0</v>
      </c>
      <c r="G288" t="e">
        <v>#N/A</v>
      </c>
      <c r="H288" t="s">
        <v>97</v>
      </c>
      <c r="I288">
        <v>0</v>
      </c>
      <c r="J288" t="s">
        <v>98</v>
      </c>
      <c r="L288" t="s">
        <v>99</v>
      </c>
      <c r="M288" t="e">
        <v>#N/A</v>
      </c>
      <c r="N288">
        <v>0</v>
      </c>
      <c r="O288" t="b">
        <v>0</v>
      </c>
    </row>
    <row r="289" spans="1:15" x14ac:dyDescent="0.45">
      <c r="A289" t="s">
        <v>37</v>
      </c>
      <c r="B289" t="s">
        <v>87</v>
      </c>
      <c r="C289" t="s">
        <v>47</v>
      </c>
      <c r="E289" t="e">
        <v>#N/A</v>
      </c>
      <c r="F289">
        <v>0</v>
      </c>
      <c r="G289" t="e">
        <v>#N/A</v>
      </c>
      <c r="H289" t="s">
        <v>97</v>
      </c>
      <c r="I289">
        <v>0</v>
      </c>
      <c r="J289" t="s">
        <v>98</v>
      </c>
      <c r="L289" t="s">
        <v>99</v>
      </c>
      <c r="M289" t="e">
        <v>#N/A</v>
      </c>
      <c r="N289">
        <v>0</v>
      </c>
      <c r="O28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SMRW_PRM_06112024_transitions_f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Marquis Yazhi</dc:creator>
  <cp:lastModifiedBy>Marquis Yazzie</cp:lastModifiedBy>
  <dcterms:created xsi:type="dcterms:W3CDTF">2024-06-12T16:57:12Z</dcterms:created>
  <dcterms:modified xsi:type="dcterms:W3CDTF">2025-12-04T20:45:52Z</dcterms:modified>
</cp:coreProperties>
</file>